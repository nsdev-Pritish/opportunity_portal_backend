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fead5f640acc924/AI FPA/"/>
    </mc:Choice>
  </mc:AlternateContent>
  <xr:revisionPtr revIDLastSave="780" documentId="8_{738F7370-5E38-4B92-9BC0-A056CEFC0F36}" xr6:coauthVersionLast="47" xr6:coauthVersionMax="47" xr10:uidLastSave="{A97695E8-DD24-43F3-BFE4-34AC51D1CCE6}"/>
  <bookViews>
    <workbookView xWindow="28680" yWindow="-120" windowWidth="29040" windowHeight="15720" tabRatio="943" firstSheet="4" activeTab="5" xr2:uid="{00000000-000D-0000-FFFF-FFFF00000000}"/>
  </bookViews>
  <sheets>
    <sheet name="7_Architecture" sheetId="7" r:id="rId1"/>
    <sheet name="Main Deliverables--&gt;" sheetId="15" r:id="rId2"/>
    <sheet name="8_Consolidated rev (Mapping)" sheetId="8" r:id="rId3"/>
    <sheet name="Fact_Revenue_Snapshot" sheetId="17" r:id="rId4"/>
    <sheet name="Comparison Report Types" sheetId="20" r:id="rId5"/>
    <sheet name="Cons Rev &amp; comparison" sheetId="18" r:id="rId6"/>
    <sheet name="Revenue Movement Reports" sheetId="19" state="hidden" r:id="rId7"/>
    <sheet name="9_DW Processing" sheetId="9" r:id="rId8"/>
    <sheet name="2_Baseline Definitions" sheetId="2" state="hidden" r:id="rId9"/>
    <sheet name="3_Change Rules" sheetId="3" r:id="rId10"/>
    <sheet name="13_Expected Outputs" sheetId="13" r:id="rId11"/>
    <sheet name="Test &amp; AI--&gt;" sheetId="16" r:id="rId12"/>
    <sheet name="5_Test Cases" sheetId="5" r:id="rId13"/>
    <sheet name="11_AI Prompts by Table" sheetId="11" r:id="rId14"/>
    <sheet name="Reference--&gt;" sheetId="14" r:id="rId15"/>
    <sheet name="1_Field Mapping" sheetId="1" r:id="rId16"/>
    <sheet name="4_Change Log Output" sheetId="4" r:id="rId17"/>
    <sheet name="6_FX Logic" sheetId="6" r:id="rId18"/>
    <sheet name="10_Business Definitions" sheetId="10" r:id="rId19"/>
    <sheet name="12_Data Quality Rules" sheetId="12"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5" i="18" l="1"/>
  <c r="AB55" i="18" s="1"/>
  <c r="U55" i="18"/>
  <c r="N55" i="18"/>
  <c r="H55" i="18"/>
  <c r="R49" i="18"/>
</calcChain>
</file>

<file path=xl/sharedStrings.xml><?xml version="1.0" encoding="utf-8"?>
<sst xmlns="http://schemas.openxmlformats.org/spreadsheetml/2006/main" count="1822" uniqueCount="995">
  <si>
    <t>Business Concept</t>
  </si>
  <si>
    <t>Pipeline Field</t>
  </si>
  <si>
    <t>Open SO Field</t>
  </si>
  <si>
    <t>Invoice Field</t>
  </si>
  <si>
    <t>Budget Field</t>
  </si>
  <si>
    <t>DW Use / Notes</t>
  </si>
  <si>
    <t>Unique Record ID</t>
  </si>
  <si>
    <t>Internal ID</t>
  </si>
  <si>
    <t>Stable source key</t>
  </si>
  <si>
    <t>Document Number</t>
  </si>
  <si>
    <t>Name</t>
  </si>
  <si>
    <t>Business-facing identifier</t>
  </si>
  <si>
    <t>Customer</t>
  </si>
  <si>
    <t>Consolidated Customer</t>
  </si>
  <si>
    <t>Preferred consolidated customer field</t>
  </si>
  <si>
    <t>Top-Level Parent</t>
  </si>
  <si>
    <t>Top Level Parent</t>
  </si>
  <si>
    <t>Parent</t>
  </si>
  <si>
    <t>Roll-up reporting</t>
  </si>
  <si>
    <t>Transaction Currency</t>
  </si>
  <si>
    <t>Currency</t>
  </si>
  <si>
    <t>N/A / confirm</t>
  </si>
  <si>
    <t>Used with Foreign Amount</t>
  </si>
  <si>
    <t>Foreign / Transaction Amount</t>
  </si>
  <si>
    <t>Foreign Amount</t>
  </si>
  <si>
    <t>PRIMARY field for detecting commercial amount changes</t>
  </si>
  <si>
    <t>Reported USD Amount</t>
  </si>
  <si>
    <t>Projected Total</t>
  </si>
  <si>
    <t>Open Amount (or Amount (Net), confirm)</t>
  </si>
  <si>
    <t>USD Net Revenue</t>
  </si>
  <si>
    <t>Net Revenue (FCT)</t>
  </si>
  <si>
    <t>Used for management reporting, not for deciding whether amount changed</t>
  </si>
  <si>
    <t>Exchange Rate</t>
  </si>
  <si>
    <t>NOT CURRENTLY PROVIDED</t>
  </si>
  <si>
    <t>Planning rate may be separate</t>
  </si>
  <si>
    <t>Required to quantify FX-only movement; invoice source gap</t>
  </si>
  <si>
    <t>Revenue Date</t>
  </si>
  <si>
    <t>Promised Delivery Date (Projected Revenue Date)</t>
  </si>
  <si>
    <t>End Date</t>
  </si>
  <si>
    <t>Invoice Date</t>
  </si>
  <si>
    <t>Revenue Period</t>
  </si>
  <si>
    <t>Normalize with DATE_TRUNC('month', ...)</t>
  </si>
  <si>
    <t>Created / Baseline Date</t>
  </si>
  <si>
    <t>Date</t>
  </si>
  <si>
    <t>SO DATE</t>
  </si>
  <si>
    <t>Date Created</t>
  </si>
  <si>
    <t>Used to establish baseline, subject to source-specific rules</t>
  </si>
  <si>
    <t>Status</t>
  </si>
  <si>
    <t>N/A</t>
  </si>
  <si>
    <t>Forecast Status (FCT)</t>
  </si>
  <si>
    <t>Salesperson / AM</t>
  </si>
  <si>
    <t>Sales Rep</t>
  </si>
  <si>
    <t>Account Manager (FCT)</t>
  </si>
  <si>
    <t>Department</t>
  </si>
  <si>
    <t>Project</t>
  </si>
  <si>
    <t>Project Name</t>
  </si>
  <si>
    <t>Lifecycle Anchor</t>
  </si>
  <si>
    <t>Internal ID / Anchor logic</t>
  </si>
  <si>
    <t>Anchor ID (Created From Col G)</t>
  </si>
  <si>
    <t>EST# (Anchor ID)</t>
  </si>
  <si>
    <t>Connects Pipeline → SO → Invoice</t>
  </si>
  <si>
    <t>Likelihood</t>
  </si>
  <si>
    <t>Likely to Close</t>
  </si>
  <si>
    <t>Pipeline baseline threshold field</t>
  </si>
  <si>
    <t>Snapshot Date</t>
  </si>
  <si>
    <t>Date Capture</t>
  </si>
  <si>
    <t>Current/prior comparison date</t>
  </si>
  <si>
    <t>Source</t>
  </si>
  <si>
    <t>Original Baseline Trigger</t>
  </si>
  <si>
    <t>Original Foreign Amount</t>
  </si>
  <si>
    <t>Original USD Amount</t>
  </si>
  <si>
    <t>Original Revenue Period</t>
  </si>
  <si>
    <t>Original Exchange Rate / Notes</t>
  </si>
  <si>
    <t>Pipeline</t>
  </si>
  <si>
    <t>First snapshot where Likely to Close &gt; 3 AND Foreign Amount &gt; 0</t>
  </si>
  <si>
    <t>Foreign Amount on that same qualifying snapshot</t>
  </si>
  <si>
    <t>Projected Total on that same snapshot</t>
  </si>
  <si>
    <t>Month of Promised Delivery Date on same snapshot</t>
  </si>
  <si>
    <t>Exchange Rate on same qualifying snapshot</t>
  </si>
  <si>
    <t>Open SO</t>
  </si>
  <si>
    <t>First valid creation-state record for the SO</t>
  </si>
  <si>
    <t>Foreign Amount at creation</t>
  </si>
  <si>
    <t>Open Amount or Amount (Net) at creation — confirm preferred field</t>
  </si>
  <si>
    <t>Month of End Date at creation</t>
  </si>
  <si>
    <t>Exchange Rate at creation</t>
  </si>
  <si>
    <t>Invoice</t>
  </si>
  <si>
    <t>First valid creation-state record for the invoice</t>
  </si>
  <si>
    <t>USD Net Revenue at creation</t>
  </si>
  <si>
    <t>Month of Invoice Date at creation</t>
  </si>
  <si>
    <t>Invoice Exchange Rate field needs to be added if FX analysis is required</t>
  </si>
  <si>
    <t>Budget</t>
  </si>
  <si>
    <t>First approved forecast/budget version</t>
  </si>
  <si>
    <t>N/A unless local-currency budget exists</t>
  </si>
  <si>
    <t>Use planning-rate table if budget is maintained in USD</t>
  </si>
  <si>
    <t>Priority</t>
  </si>
  <si>
    <t>Change Type</t>
  </si>
  <si>
    <t>Applies To</t>
  </si>
  <si>
    <t>Business Rule</t>
  </si>
  <si>
    <t>Primary Comparison Field</t>
  </si>
  <si>
    <t>Output / Formula</t>
  </si>
  <si>
    <t>currency_changed</t>
  </si>
  <si>
    <t>Pipeline, SO, Invoice</t>
  </si>
  <si>
    <t>Current Currency IS DISTINCT FROM Prior Currency</t>
  </si>
  <si>
    <t>Control exception; do not combine amount values across currencies</t>
  </si>
  <si>
    <t>{source}_amount_reverted_to_original</t>
  </si>
  <si>
    <t>Current Foreign Amount = Original Foreign Amount AND Prior Foreign Amount &lt;&gt; Original Foreign Amount</t>
  </si>
  <si>
    <t>Delta FC = Current FC - Prior FC</t>
  </si>
  <si>
    <t>{source}_amount_restored_to_original</t>
  </si>
  <si>
    <t>Current Foreign Amount = Original Foreign Amount AND Prior Foreign Amount &lt; Original Foreign Amount</t>
  </si>
  <si>
    <t>{source}_amount_increase</t>
  </si>
  <si>
    <t>Current Foreign Amount &gt; Prior Foreign Amount AND Current Foreign Amount &lt;&gt; Original Foreign Amount</t>
  </si>
  <si>
    <t>Commercial amount increased</t>
  </si>
  <si>
    <t>{source}_amount_decrease</t>
  </si>
  <si>
    <t>Current Foreign Amount &lt; Prior Foreign Amount AND Current Foreign Amount &lt;&gt; Original Foreign Amount</t>
  </si>
  <si>
    <t>Commercial amount decreased</t>
  </si>
  <si>
    <t>fx_only_change</t>
  </si>
  <si>
    <t>Foreign Amount unchanged AND Reported USD Amount changed AND Exchange Rate changed</t>
  </si>
  <si>
    <t>Foreign Amount + USD + Rate</t>
  </si>
  <si>
    <t>No commercial revenue event; change_driver = FX_ONLY</t>
  </si>
  <si>
    <t>business_and_fx_change</t>
  </si>
  <si>
    <t>Foreign Amount changed AND Exchange Rate changed</t>
  </si>
  <si>
    <t>Foreign Amount + Rate</t>
  </si>
  <si>
    <t>change_driver = BUSINESS_AND_FX</t>
  </si>
  <si>
    <t>business_change</t>
  </si>
  <si>
    <t>Foreign Amount changed AND Exchange Rate unchanged</t>
  </si>
  <si>
    <t>change_driver = BUSINESS</t>
  </si>
  <si>
    <t>{source}_period_reverted_to_original</t>
  </si>
  <si>
    <t>Current Revenue Month = Original Revenue Month AND Prior Revenue Month IS DISTINCT FROM Original Revenue Month</t>
  </si>
  <si>
    <t>Normalized Month</t>
  </si>
  <si>
    <t>Returned to original revenue period</t>
  </si>
  <si>
    <t>{source}_period_assigned</t>
  </si>
  <si>
    <t>Prior Revenue Month IS NULL AND Current Revenue Month IS NOT NULL</t>
  </si>
  <si>
    <t>Revenue period assigned</t>
  </si>
  <si>
    <t>{source}_period_removed</t>
  </si>
  <si>
    <t>Prior Revenue Month IS NOT NULL AND Current Revenue Month IS NULL</t>
  </si>
  <si>
    <t>Revenue period removed</t>
  </si>
  <si>
    <t>{source}_period_shift_later</t>
  </si>
  <si>
    <t>Current Revenue Month &gt; Prior Revenue Month</t>
  </si>
  <si>
    <t>Months shifted &gt; 0</t>
  </si>
  <si>
    <t>{source}_period_shift_earlier</t>
  </si>
  <si>
    <t>Current Revenue Month &lt; Prior Revenue Month</t>
  </si>
  <si>
    <t>Months shifted &lt; 0</t>
  </si>
  <si>
    <t>pipeline_to_so</t>
  </si>
  <si>
    <t>Lifecycle</t>
  </si>
  <si>
    <t>Pipeline reduced/closed and SO created/increased for same Anchor ID</t>
  </si>
  <si>
    <t>Anchor + Foreign Amount</t>
  </si>
  <si>
    <t>Lifecycle conversion</t>
  </si>
  <si>
    <t>partial_so_to_invoice</t>
  </si>
  <si>
    <t>Open SO reduced and Invoice increased for same Anchor ID; open SO remains &gt; 0</t>
  </si>
  <si>
    <t>Partial invoicing</t>
  </si>
  <si>
    <t>final_so_to_invoice</t>
  </si>
  <si>
    <t>Open SO reduced to 0 and Invoice increased by remaining amount</t>
  </si>
  <si>
    <t>Final invoicing</t>
  </si>
  <si>
    <t>no_event</t>
  </si>
  <si>
    <t>All</t>
  </si>
  <si>
    <t>Foreign Amount unchanged and Revenue Month unchanged</t>
  </si>
  <si>
    <t>Foreign Amount + Month</t>
  </si>
  <si>
    <t>Do not insert change-log row unless FX-only tracking is desired</t>
  </si>
  <si>
    <t>Field</t>
  </si>
  <si>
    <t>Purpose / Definition</t>
  </si>
  <si>
    <t>change_event_id</t>
  </si>
  <si>
    <t>Unique event ID</t>
  </si>
  <si>
    <t>change_group_id</t>
  </si>
  <si>
    <t>Groups multiple changes for the same record/comparison run</t>
  </si>
  <si>
    <t>change_type</t>
  </si>
  <si>
    <t>Controlled rule-based event code</t>
  </si>
  <si>
    <t>change_driver</t>
  </si>
  <si>
    <t>BUSINESS, FX_ONLY, BUSINESS_AND_FX, PERIOD, LIFECYCLE, DATA_QUALITY</t>
  </si>
  <si>
    <t>source_type</t>
  </si>
  <si>
    <t>Pipeline, SO, or Invoice</t>
  </si>
  <si>
    <t>source_record_id</t>
  </si>
  <si>
    <t>Stable source-system Internal ID</t>
  </si>
  <si>
    <t>document_number</t>
  </si>
  <si>
    <t>Estimate, SO, or invoice number</t>
  </si>
  <si>
    <t>anchor_id</t>
  </si>
  <si>
    <t>Lifecycle key connecting Pipeline → SO → Invoice</t>
  </si>
  <si>
    <t>from_snapshot_date</t>
  </si>
  <si>
    <t>Prior successful snapshot date</t>
  </si>
  <si>
    <t>to_snapshot_date</t>
  </si>
  <si>
    <t>Current successful snapshot date</t>
  </si>
  <si>
    <t>currency</t>
  </si>
  <si>
    <t>Transaction currency</t>
  </si>
  <si>
    <t>original_foreign_amount</t>
  </si>
  <si>
    <t>Original transaction-currency baseline</t>
  </si>
  <si>
    <t>prior_foreign_amount</t>
  </si>
  <si>
    <t>Prior transaction-currency amount</t>
  </si>
  <si>
    <t>current_foreign_amount</t>
  </si>
  <si>
    <t>Current transaction-currency amount</t>
  </si>
  <si>
    <t>foreign_delta_vs_prior</t>
  </si>
  <si>
    <t>Current Foreign Amount - Prior Foreign Amount</t>
  </si>
  <si>
    <t>foreign_delta_vs_original</t>
  </si>
  <si>
    <t>Current Foreign Amount - Original Foreign Amount</t>
  </si>
  <si>
    <t>original_reported_usd_amount</t>
  </si>
  <si>
    <t>USD amount at baseline using source-reported rate</t>
  </si>
  <si>
    <t>prior_reported_usd_amount</t>
  </si>
  <si>
    <t>USD amount in prior snapshot</t>
  </si>
  <si>
    <t>current_reported_usd_amount</t>
  </si>
  <si>
    <t>USD amount in current snapshot</t>
  </si>
  <si>
    <t>original_exchange_rate</t>
  </si>
  <si>
    <t>Exchange rate at baseline</t>
  </si>
  <si>
    <t>prior_exchange_rate</t>
  </si>
  <si>
    <t>Exchange rate in prior snapshot</t>
  </si>
  <si>
    <t>current_exchange_rate</t>
  </si>
  <si>
    <t>Exchange rate in current snapshot</t>
  </si>
  <si>
    <t>reported_usd_delta_vs_prior</t>
  </si>
  <si>
    <t>Current Reported USD - Prior Reported USD</t>
  </si>
  <si>
    <t>fx_only_change_flag</t>
  </si>
  <si>
    <t>TRUE when FC unchanged but USD and rate changed</t>
  </si>
  <si>
    <t>original_revenue_period</t>
  </si>
  <si>
    <t>Original date normalized to month</t>
  </si>
  <si>
    <t>prior_revenue_period</t>
  </si>
  <si>
    <t>Prior date normalized to month</t>
  </si>
  <si>
    <t>current_revenue_period</t>
  </si>
  <si>
    <t>Current date normalized to month</t>
  </si>
  <si>
    <t>months_shifted_vs_prior</t>
  </si>
  <si>
    <t>Signed month difference current vs prior</t>
  </si>
  <si>
    <t>months_shifted_vs_original</t>
  </si>
  <si>
    <t>Signed month difference current vs original</t>
  </si>
  <si>
    <t>change_description</t>
  </si>
  <si>
    <t>Deterministic factual description</t>
  </si>
  <si>
    <t>control_severity</t>
  </si>
  <si>
    <t>INFO, REVIEW, WARNING, CRITICAL</t>
  </si>
  <si>
    <t>created_at</t>
  </si>
  <si>
    <t>Change-log generation timestamp</t>
  </si>
  <si>
    <t>Scenario</t>
  </si>
  <si>
    <t>Original FC</t>
  </si>
  <si>
    <t>Prior FC</t>
  </si>
  <si>
    <t>Current FC</t>
  </si>
  <si>
    <t>Prior Rate</t>
  </si>
  <si>
    <t>Current Rate</t>
  </si>
  <si>
    <t>Prior USD</t>
  </si>
  <si>
    <t>Current USD</t>
  </si>
  <si>
    <t>Expected Change Type</t>
  </si>
  <si>
    <t>Expected Driver</t>
  </si>
  <si>
    <t>SO increases; rate unchanged</t>
  </si>
  <si>
    <t>EUR</t>
  </si>
  <si>
    <t>so_amount_increase</t>
  </si>
  <si>
    <t>BUSINESS</t>
  </si>
  <si>
    <t>SO reverts; rate unchanged</t>
  </si>
  <si>
    <t>so_amount_reverted_to_original</t>
  </si>
  <si>
    <t>FX-only movement</t>
  </si>
  <si>
    <t>No commercial amount event / optional fx_only_change</t>
  </si>
  <si>
    <t>FX_ONLY</t>
  </si>
  <si>
    <t>Business and FX movement</t>
  </si>
  <si>
    <t>BUSINESS_AND_FX</t>
  </si>
  <si>
    <t>USD transaction increase</t>
  </si>
  <si>
    <t>USD</t>
  </si>
  <si>
    <t>Currency changed</t>
  </si>
  <si>
    <t>DATA_QUALITY</t>
  </si>
  <si>
    <t>Pipeline month Jul→Aug</t>
  </si>
  <si>
    <t>pipeline_period_shift_later</t>
  </si>
  <si>
    <t>PERIOD</t>
  </si>
  <si>
    <t>Pipeline month returns Aug→Jul</t>
  </si>
  <si>
    <t>pipeline_period_reverted_to_original</t>
  </si>
  <si>
    <t>SO partial invoice</t>
  </si>
  <si>
    <t>LIFECYCLE</t>
  </si>
  <si>
    <t>SO fully invoiced</t>
  </si>
  <si>
    <t>FX Logic Principle</t>
  </si>
  <si>
    <t>Specification</t>
  </si>
  <si>
    <t>Primary control rule</t>
  </si>
  <si>
    <t>Commercial revenue amount changes are detected using Foreign Amount, not translated USD amount.</t>
  </si>
  <si>
    <t>USD reporting rule</t>
  </si>
  <si>
    <t>Reported USD amounts remain available for dashboards and AI summaries.</t>
  </si>
  <si>
    <t>FX-only rule</t>
  </si>
  <si>
    <t>If Foreign Amount is unchanged, USD amount changed, and Exchange Rate changed, classify as FX_ONLY and do not create a commercial amount-change event.</t>
  </si>
  <si>
    <t>Business-only rule</t>
  </si>
  <si>
    <t>If Foreign Amount changed and Exchange Rate did not change, classify as BUSINESS.</t>
  </si>
  <si>
    <t>Business + FX rule</t>
  </si>
  <si>
    <t>If Foreign Amount changed and Exchange Rate also changed, classify as BUSINESS_AND_FX.</t>
  </si>
  <si>
    <t>Currency-change rule</t>
  </si>
  <si>
    <t>If Currency changed between snapshots, create a currency_changed control event and do not calculate a normal amount delta until resolved.</t>
  </si>
  <si>
    <t>USD transactions</t>
  </si>
  <si>
    <t>For Currency = USD, Exchange Rate should equal 1 and Foreign Amount should equal the relevant USD amount.</t>
  </si>
  <si>
    <t>Invoice data gap</t>
  </si>
  <si>
    <t>Invoice source list does not currently include Exchange Rate. Add it if FX-only reconciliation is required.</t>
  </si>
  <si>
    <t>AI instruction</t>
  </si>
  <si>
    <t>AI should suppress FX_ONLY events from normal commercial revenue commentary unless specifically asked to explain FX impact.</t>
  </si>
  <si>
    <t>Optional FX quantification</t>
  </si>
  <si>
    <t>Reported USD Delta = Current USD - Prior USD. The DW may store this, but it should not be treated as a commercial revenue change.</t>
  </si>
  <si>
    <t>AI FPA Revenue Architecture</t>
  </si>
  <si>
    <t>NetSuite Saved Searches</t>
  </si>
  <si>
    <t xml:space="preserve">    ↓</t>
  </si>
  <si>
    <t>Consolidated Revenue Snapshot (fact_revenue_snapshot)</t>
  </si>
  <si>
    <t>SQL Comparison Layer (Original / Prior / Current)</t>
  </si>
  <si>
    <t>Revenue Change Log</t>
  </si>
  <si>
    <t>AI Insights / Dashboards / Alerts</t>
  </si>
  <si>
    <t>Category</t>
  </si>
  <si>
    <t>Standard Field</t>
  </si>
  <si>
    <t>Pipeline Source</t>
  </si>
  <si>
    <t>Open SO Source</t>
  </si>
  <si>
    <t>Invoice Source</t>
  </si>
  <si>
    <t>Budget Source</t>
  </si>
  <si>
    <t>Transformation / Notes</t>
  </si>
  <si>
    <t>Technical</t>
  </si>
  <si>
    <t>Last Modified</t>
  </si>
  <si>
    <t>Daily snapshot</t>
  </si>
  <si>
    <t>Source Type</t>
  </si>
  <si>
    <t>Pipeline/SO/Invoice/Budget</t>
  </si>
  <si>
    <t>Source Name</t>
  </si>
  <si>
    <t>Saved Search</t>
  </si>
  <si>
    <t>Primary key</t>
  </si>
  <si>
    <t>Business document</t>
  </si>
  <si>
    <t>Anchor ID</t>
  </si>
  <si>
    <t/>
  </si>
  <si>
    <t>Lifecycle key</t>
  </si>
  <si>
    <t>Sales Rep / AM</t>
  </si>
  <si>
    <t>Commercial</t>
  </si>
  <si>
    <t>Stage</t>
  </si>
  <si>
    <t>Pipeline only</t>
  </si>
  <si>
    <t>Dates</t>
  </si>
  <si>
    <t>Created Date</t>
  </si>
  <si>
    <t>Baseline</t>
  </si>
  <si>
    <t>Promised Delivery Date</t>
  </si>
  <si>
    <t>Derived</t>
  </si>
  <si>
    <t>DATE_TRUNC(month)</t>
  </si>
  <si>
    <t>Amounts</t>
  </si>
  <si>
    <t>Primary business comparison</t>
  </si>
  <si>
    <t>USD Amount</t>
  </si>
  <si>
    <t>Open Amount</t>
  </si>
  <si>
    <t>Reporting</t>
  </si>
  <si>
    <t>**Need field**</t>
  </si>
  <si>
    <t>Required for FX</t>
  </si>
  <si>
    <t>Change Driver</t>
  </si>
  <si>
    <t>BUSINESS / FX_ONLY / BUSINESS_AND_FX</t>
  </si>
  <si>
    <t>Original Amount</t>
  </si>
  <si>
    <t>Baseline month</t>
  </si>
  <si>
    <t>Current Amount</t>
  </si>
  <si>
    <t>Current snapshot</t>
  </si>
  <si>
    <t>Current Revenue Period</t>
  </si>
  <si>
    <t>Current month</t>
  </si>
  <si>
    <t>Step</t>
  </si>
  <si>
    <t>Process</t>
  </si>
  <si>
    <t>Load Pipeline, SO, Invoice, Budget</t>
  </si>
  <si>
    <t>Append to Consolidated Revenue Snapshot</t>
  </si>
  <si>
    <t>Retrieve Original Baseline</t>
  </si>
  <si>
    <t>Retrieve Prior Snapshot</t>
  </si>
  <si>
    <t>Build SQL Comparison Layer</t>
  </si>
  <si>
    <t>Compare Foreign Amounts (commercial changes)</t>
  </si>
  <si>
    <t>Compare Revenue Periods (month only)</t>
  </si>
  <si>
    <t>Determine Change Driver (BUSINESS / FX_ONLY / BUSINESS_AND_FX)</t>
  </si>
  <si>
    <t>Apply Change Rule Matrix</t>
  </si>
  <si>
    <t>Insert Revenue Change Log</t>
  </si>
  <si>
    <t>AI reads Change Log only</t>
  </si>
  <si>
    <t>Business Definitions</t>
  </si>
  <si>
    <t>Standard definitions used across the Consolidated Revenue Snapshot, comparison layer, Revenue Change Log, dashboards, and AI prompts.</t>
  </si>
  <si>
    <t>Term</t>
  </si>
  <si>
    <t>Business Definition</t>
  </si>
  <si>
    <t>Calculation / Qualification</t>
  </si>
  <si>
    <t>Primary Source</t>
  </si>
  <si>
    <t>Used By</t>
  </si>
  <si>
    <t>Implementation Notes</t>
  </si>
  <si>
    <t>Revenue Visibility</t>
  </si>
  <si>
    <t>Revenue currently supported by pipeline, open sales orders, invoices, and approved forecast inputs for a selected period.</t>
  </si>
  <si>
    <t>Sum the applicable USD reporting amount by lifecycle stage while avoiding double counting across linked records.</t>
  </si>
  <si>
    <t>Consolidated Revenue Snapshot</t>
  </si>
  <si>
    <t>Dashboard, AI summary</t>
  </si>
  <si>
    <t>Visibility must be segmented by Pipeline, Open SO, Invoiced, and Budget/Plan.</t>
  </si>
  <si>
    <t>Commercial opportunity that has not yet converted to a sales order.</t>
  </si>
  <si>
    <t>Source Type = PIPELINE. Original baseline begins when Likely to Close &gt; 3 and Foreign Amount &gt; 0.</t>
  </si>
  <si>
    <t>Pipeline saved search</t>
  </si>
  <si>
    <t>Snapshot, Change Log</t>
  </si>
  <si>
    <t>Records below the qualifying threshold may be stored but do not establish the original baseline.</t>
  </si>
  <si>
    <t>Open Sales Order</t>
  </si>
  <si>
    <t>Sales order value not yet fully invoiced or otherwise closed.</t>
  </si>
  <si>
    <t>Source Type = SO and Open Amount &gt; 0, subject to status exclusions.</t>
  </si>
  <si>
    <t>Open SO saved search</t>
  </si>
  <si>
    <t>Use Open Amount for future revenue visibility. Retain Amount (Net) as the full SO amount where needed.</t>
  </si>
  <si>
    <t>Recognized or billed revenue represented by an invoice record.</t>
  </si>
  <si>
    <t>Source Type = INVOICE.</t>
  </si>
  <si>
    <t>Invoice saved search</t>
  </si>
  <si>
    <t>Snapshot, actual revenue reporting</t>
  </si>
  <si>
    <t>USD Net Revenue should be the primary reporting field where it aligns to the GL.</t>
  </si>
  <si>
    <t>Budget / Revenue Plan</t>
  </si>
  <si>
    <t>Management-approved revenue target or forecast by period, customer, department, and account manager.</t>
  </si>
  <si>
    <t>Source Type = BUDGET. Use Net Revenue (FCT) for plan comparison.</t>
  </si>
  <si>
    <t>Budget custom record</t>
  </si>
  <si>
    <t>Actual vs plan, AI commentary</t>
  </si>
  <si>
    <t>Budget records are planning rows and are not lifecycle-linked to estimates or sales orders unless an explicit key exists.</t>
  </si>
  <si>
    <t>Stable identifier used to connect the same commercial opportunity across pipeline, SO, and invoice stages.</t>
  </si>
  <si>
    <t>Pipeline: qualifying estimate ID; SO: Created From estimate ID; Invoice: EST# or mapped estimate ID.</t>
  </si>
  <si>
    <t>Source extracts</t>
  </si>
  <si>
    <t>Lifecycle analysis</t>
  </si>
  <si>
    <t>Do not substitute document number when Internal ID is available.</t>
  </si>
  <si>
    <t>Original Baseline</t>
  </si>
  <si>
    <t>First qualifying state against which all later changes are compared.</t>
  </si>
  <si>
    <t>Pipeline: first row with Likely to Close &gt; 3 and Foreign Amount &gt; 0. SO/Invoice: creation state or first available warehouse snapshot.</t>
  </si>
  <si>
    <t>Snapshot history</t>
  </si>
  <si>
    <t>Comparison layer</t>
  </si>
  <si>
    <t>Once established, the baseline must not be overwritten.</t>
  </si>
  <si>
    <t>Prior Snapshot</t>
  </si>
  <si>
    <t>Most recent successful earlier snapshot for the same source record.</t>
  </si>
  <si>
    <t>Maximum completed snapshot timestamp less than current snapshot timestamp.</t>
  </si>
  <si>
    <t>Daily/weekly change detection</t>
  </si>
  <si>
    <t>Do not assume the prior calendar day; skipped or failed loads must not break comparison logic.</t>
  </si>
  <si>
    <t>Current Snapshot</t>
  </si>
  <si>
    <t>Most recent successfully loaded state for a source record.</t>
  </si>
  <si>
    <t>Latest completed snapshot timestamp included in the processing run.</t>
  </si>
  <si>
    <t>Every successful load should append a row even when values are unchanged.</t>
  </si>
  <si>
    <t>Business date used to assign revenue to a reporting period.</t>
  </si>
  <si>
    <t>Pipeline: Promised Delivery Date. SO: End Date. Invoice: Invoice Date or approved revenue date. Budget: Revenue Period.</t>
  </si>
  <si>
    <t>Period movement analysis</t>
  </si>
  <si>
    <t>The selected date must be documented and consistently applied.</t>
  </si>
  <si>
    <t>Month in which revenue is expected, recognized, or planned.</t>
  </si>
  <si>
    <t>DATE_TRUNC('month', Revenue Date).</t>
  </si>
  <si>
    <t>Day-level movement within the same month does not create a period-change event.</t>
  </si>
  <si>
    <t>Revenue Period Shift</t>
  </si>
  <si>
    <t>Movement of expected revenue from one month to another.</t>
  </si>
  <si>
    <t>Current Revenue Period differs from Prior Revenue Period.</t>
  </si>
  <si>
    <t>Change Log, AI alerts</t>
  </si>
  <si>
    <t>Classify as earlier, later, assigned, removed, or reverted to original.</t>
  </si>
  <si>
    <t>Transaction-currency value used to determine whether the underlying commercial amount changed.</t>
  </si>
  <si>
    <t>Compare Original, Prior, and Current Foreign Amount in the same currency.</t>
  </si>
  <si>
    <t>Pipeline/SO/Invoice extracts</t>
  </si>
  <si>
    <t>Change detection</t>
  </si>
  <si>
    <t>This is the primary commercial-change control field.</t>
  </si>
  <si>
    <t>Translated reporting amount used for consolidated management reporting.</t>
  </si>
  <si>
    <t>Use the source USD amount or Foreign Amount × Exchange Rate, subject to source reconciliation.</t>
  </si>
  <si>
    <t>Source extracts / derived</t>
  </si>
  <si>
    <t>Dashboard, AI reporting</t>
  </si>
  <si>
    <t>A USD movement alone does not prove a commercial change.</t>
  </si>
  <si>
    <t>Classification of what caused a reported movement.</t>
  </si>
  <si>
    <t>BUSINESS, FX_ONLY, BUSINESS_AND_FX, PERIOD, LIFECYCLE, DATA_QUALITY.</t>
  </si>
  <si>
    <t>Change Log, AI prompts</t>
  </si>
  <si>
    <t>AI should read this classification rather than infer the cause.</t>
  </si>
  <si>
    <t>FX-Only Change</t>
  </si>
  <si>
    <t>USD reporting value changed solely because the exchange rate changed while the transaction-currency amount remained unchanged.</t>
  </si>
  <si>
    <t>Foreign Amount unchanged; USD Amount changed; Exchange Rate changed.</t>
  </si>
  <si>
    <t>Change Log filtering</t>
  </si>
  <si>
    <t>Do not include as a commercial revenue increase or decrease.</t>
  </si>
  <si>
    <t>Lifecycle Event</t>
  </si>
  <si>
    <t>Movement of the opportunity through pipeline, sales order, and invoice stages.</t>
  </si>
  <si>
    <t>Detected using Anchor ID and source appearance/disappearance rules.</t>
  </si>
  <si>
    <t>Consolidated Snapshot</t>
  </si>
  <si>
    <t>Change Log, conversion analysis</t>
  </si>
  <si>
    <t>Lifecycle rules take priority over generic amount-decrease rules.</t>
  </si>
  <si>
    <t>Commercial Amount Change</t>
  </si>
  <si>
    <t>Increase or decrease in the underlying transaction value.</t>
  </si>
  <si>
    <t>Current Foreign Amount differs from Prior Foreign Amount in the same currency.</t>
  </si>
  <si>
    <t>Change Log, AI commentary</t>
  </si>
  <si>
    <t>If currency changes, create a data-quality/control event before classifying the amount change.</t>
  </si>
  <si>
    <t>Reverted to Original</t>
  </si>
  <si>
    <t>Current value has returned to the original baseline after previously differing.</t>
  </si>
  <si>
    <t>Current = Original and Prior &lt;&gt; Original.</t>
  </si>
  <si>
    <t>Change Log</t>
  </si>
  <si>
    <t>Evaluate before generic increase/decrease rules.</t>
  </si>
  <si>
    <t>Successful Snapshot</t>
  </si>
  <si>
    <t>Snapshot load that completed required source ingestion and passed control checks.</t>
  </si>
  <si>
    <t>Load status = SUCCESS and required source completeness thresholds passed.</t>
  </si>
  <si>
    <t>ETL control table</t>
  </si>
  <si>
    <t>Prior/current selection</t>
  </si>
  <si>
    <t>Incomplete loads must not be used as comparison points.</t>
  </si>
  <si>
    <t>AI Prompts by Table</t>
  </si>
  <si>
    <t>Business questions the AI should answer from each curated warehouse table. The AI summarizes deterministic fields and classifications; it should not recreate core finance logic.</t>
  </si>
  <si>
    <t>DW Table / View</t>
  </si>
  <si>
    <t>Business Question / Prompt</t>
  </si>
  <si>
    <t>Primary Measures</t>
  </si>
  <si>
    <t>Key Filters / Dimensions</t>
  </si>
  <si>
    <t>Expected AI Output</t>
  </si>
  <si>
    <t>Required Guardrail</t>
  </si>
  <si>
    <t>Example Management Insight</t>
  </si>
  <si>
    <t>fact_revenue_snapshot</t>
  </si>
  <si>
    <t>What is current revenue visibility for the selected month, quarter, and fiscal year?</t>
  </si>
  <si>
    <t>USD Amount by Pipeline, Open SO, Invoice, Budget</t>
  </si>
  <si>
    <t>Period, customer, department, account manager, subsidiary, stage</t>
  </si>
  <si>
    <t>Visibility bridge with totals and stage mix</t>
  </si>
  <si>
    <t>Avoid double counting linked pipeline, SO, and invoice records.</t>
  </si>
  <si>
    <t>FY visibility is $X, with Y% committed through open SO/invoices and Z% still dependent on pipeline.</t>
  </si>
  <si>
    <t>Which customers and departments have the largest amount of revenue still dependent on pipeline conversion?</t>
  </si>
  <si>
    <t>Pipeline USD Amount, likely-to-close score</t>
  </si>
  <si>
    <t>Customer, department, account manager, revenue period</t>
  </si>
  <si>
    <t>Ranked exposure and concentration summary</t>
  </si>
  <si>
    <t>Clearly distinguish pipeline from committed open SO.</t>
  </si>
  <si>
    <t>Customer A represents the largest uncommitted Q4 exposure and requires $X of conversion.</t>
  </si>
  <si>
    <t>How much open SO is scheduled for each future revenue month?</t>
  </si>
  <si>
    <t>Open Amount USD</t>
  </si>
  <si>
    <t>Revenue period, customer, department, subsidiary</t>
  </si>
  <si>
    <t>Monthly schedule and concentration risks</t>
  </si>
  <si>
    <t>Use Open Amount, not full SO Amount, for future visibility.</t>
  </si>
  <si>
    <t>September has $X of open SO, including $Y concentrated in three retail programs.</t>
  </si>
  <si>
    <t>How are actual invoices tracking against the approved revenue plan?</t>
  </si>
  <si>
    <t>Invoice USD Net Revenue vs Budget Net Revenue</t>
  </si>
  <si>
    <t>Period, customer, department, account manager</t>
  </si>
  <si>
    <t>Actual vs plan variance with drivers</t>
  </si>
  <si>
    <t>Use reconciled invoice/GL logic for actual revenue.</t>
  </si>
  <si>
    <t>Q2 revenue is $X above plan, led by Customer A and partially offset by Customer B.</t>
  </si>
  <si>
    <t>revenue_comparison_layer</t>
  </si>
  <si>
    <t>Which records changed since the prior successful snapshot?</t>
  </si>
  <si>
    <t>Delta vs Prior, period shift, lifecycle state</t>
  </si>
  <si>
    <t>Source type, period, customer, department</t>
  </si>
  <si>
    <t>Concise list of material changes</t>
  </si>
  <si>
    <t>Only use pre-calculated deltas; do not infer missing values.</t>
  </si>
  <si>
    <t>Five records drove a net $X increase in July visibility.</t>
  </si>
  <si>
    <t>Which records have moved furthest from their original baseline?</t>
  </si>
  <si>
    <t>Delta vs Original, months shifted vs original</t>
  </si>
  <si>
    <t>Source type, customer, department, account manager</t>
  </si>
  <si>
    <t>Original-to-current bridge and outliers</t>
  </si>
  <si>
    <t>Separate amount movement from timing movement.</t>
  </si>
  <si>
    <t>Project A is $X below its original value and has shifted two months later.</t>
  </si>
  <si>
    <t>fact_revenue_change_log</t>
  </si>
  <si>
    <t>What changed in revenue visibility today?</t>
  </si>
  <si>
    <t>Classified change events and USD reporting impact</t>
  </si>
  <si>
    <t>Event date, period, customer, department</t>
  </si>
  <si>
    <t>Executive daily summary</t>
  </si>
  <si>
    <t>Exclude FX_ONLY from commercial change totals unless specifically requested.</t>
  </si>
  <si>
    <t>Today’s changes reduced Q3 visibility by $X, primarily from two SOs moving into Q4.</t>
  </si>
  <si>
    <t>Which revenue moved into or out of the current month?</t>
  </si>
  <si>
    <t>Period-shift events, USD Amount</t>
  </si>
  <si>
    <t>From period, to period, customer, source type</t>
  </si>
  <si>
    <t>Net timing bridge and record-level detail</t>
  </si>
  <si>
    <t>Do not treat timing movement as a loss of total FY revenue.</t>
  </si>
  <si>
    <t>$X moved out of July, while $Y moved in, creating a net $Z reduction.</t>
  </si>
  <si>
    <t>Which commercial amounts increased or decreased this week?</t>
  </si>
  <si>
    <t>Foreign amount delta and USD reporting impact</t>
  </si>
  <si>
    <t>Change driver, source type, customer, department</t>
  </si>
  <si>
    <t>Increase/decrease summary and key records</t>
  </si>
  <si>
    <t>Commercial classification must be based on Foreign Amount.</t>
  </si>
  <si>
    <t>Open SO increased by €X for Customer A, equivalent to $Y at the current reporting rate.</t>
  </si>
  <si>
    <t>Were any apparent revenue changes caused only by FX?</t>
  </si>
  <si>
    <t>FX_ONLY events and USD movement</t>
  </si>
  <si>
    <t>Currency, source type, customer, period</t>
  </si>
  <si>
    <t>Optional FX translation commentary</t>
  </si>
  <si>
    <t>Never include FX_ONLY in net commercial change.</t>
  </si>
  <si>
    <t>Reported USD visibility increased by $X from currency translation, with no underlying order changes.</t>
  </si>
  <si>
    <t>Which pipeline opportunities converted to sales orders?</t>
  </si>
  <si>
    <t>Lifecycle conversion events</t>
  </si>
  <si>
    <t>Customer, account manager, department, period</t>
  </si>
  <si>
    <t>Conversion summary and conversion value</t>
  </si>
  <si>
    <t>Use Anchor ID to establish conversion.</t>
  </si>
  <si>
    <t>Three pipeline opportunities totaling $X converted to SO this week.</t>
  </si>
  <si>
    <t>Which open SO decreases were caused by invoicing rather than cancellation or reduction?</t>
  </si>
  <si>
    <t>SO-to-invoice lifecycle events</t>
  </si>
  <si>
    <t>Anchor ID, SO, invoice, customer, period</t>
  </si>
  <si>
    <t>Invoicing bridge</t>
  </si>
  <si>
    <t>Lifecycle events take priority over generic SO amount decreases.</t>
  </si>
  <si>
    <t>$X of open SO rolled into invoices; this is execution, not lost visibility.</t>
  </si>
  <si>
    <t>data_quality_exceptions</t>
  </si>
  <si>
    <t>What data issues could make today’s revenue reporting unreliable?</t>
  </si>
  <si>
    <t>Exception count and impacted USD Amount</t>
  </si>
  <si>
    <t>Exception type, source, customer, owner</t>
  </si>
  <si>
    <t>Prioritized control report</t>
  </si>
  <si>
    <t>Do not produce confident business commentary for impacted records.</t>
  </si>
  <si>
    <t>Two non-USD invoices lack exchange rates and affect $X of reported visibility.</t>
  </si>
  <si>
    <t>revenue_plan_variance</t>
  </si>
  <si>
    <t>Where are we most at risk of missing the current revenue target?</t>
  </si>
  <si>
    <t>Plan variance, remaining required revenue, pipeline/open SO coverage</t>
  </si>
  <si>
    <t>Period, department, customer, account manager</t>
  </si>
  <si>
    <t>Risk ranking and required actions</t>
  </si>
  <si>
    <t>Distinguish committed coverage from pipeline-dependent coverage.</t>
  </si>
  <si>
    <t>Department A needs $X of additional conversion to achieve August plan.</t>
  </si>
  <si>
    <t>Data Quality and Control Rules</t>
  </si>
  <si>
    <t>Validation rules that determine whether a snapshot is complete, whether a record can be classified, and whether AI commentary should be suppressed or qualified.</t>
  </si>
  <si>
    <t>Rule ID</t>
  </si>
  <si>
    <t>Rule Category</t>
  </si>
  <si>
    <t>Rule / Condition</t>
  </si>
  <si>
    <t>Severity</t>
  </si>
  <si>
    <t>DW Action</t>
  </si>
  <si>
    <t>AI Treatment</t>
  </si>
  <si>
    <t>Example Exception</t>
  </si>
  <si>
    <t>DQ-001</t>
  </si>
  <si>
    <t>Required Key</t>
  </si>
  <si>
    <t>Internal ID is null.</t>
  </si>
  <si>
    <t>All sources</t>
  </si>
  <si>
    <t>Critical</t>
  </si>
  <si>
    <t>Reject row to quarantine; do not load into production snapshot.</t>
  </si>
  <si>
    <t>Do not reference the record.</t>
  </si>
  <si>
    <t>Open SO row has no Internal ID.</t>
  </si>
  <si>
    <t>DQ-002</t>
  </si>
  <si>
    <t>Duplicate</t>
  </si>
  <si>
    <t>More than one row exists for the same Snapshot Date + Source Type + Internal ID.</t>
  </si>
  <si>
    <t>Deduplicate only using documented source grain; otherwise fail the source load.</t>
  </si>
  <si>
    <t>Suppress commentary for affected records.</t>
  </si>
  <si>
    <t>Invoice appears twice in the daily extract.</t>
  </si>
  <si>
    <t>DQ-003</t>
  </si>
  <si>
    <t>Snapshot Completeness</t>
  </si>
  <si>
    <t>One or more required source extracts did not complete successfully.</t>
  </si>
  <si>
    <t>Daily load</t>
  </si>
  <si>
    <t>Mark load incomplete and do not use it as Current or Prior successful snapshot.</t>
  </si>
  <si>
    <t>Do not issue daily change commentary.</t>
  </si>
  <si>
    <t>Pipeline loaded but SO extract failed.</t>
  </si>
  <si>
    <t>DQ-004</t>
  </si>
  <si>
    <t>Anchor Mapping</t>
  </si>
  <si>
    <t>SO or Invoice expected to have an Anchor ID but Anchor ID is null.</t>
  </si>
  <si>
    <t>SO, Invoice</t>
  </si>
  <si>
    <t>High</t>
  </si>
  <si>
    <t>Load row with exception flag; exclude from lifecycle conversion classification.</t>
  </si>
  <si>
    <t>Qualify lifecycle analysis as incomplete.</t>
  </si>
  <si>
    <t>Invoice cannot be tied to the originating estimate.</t>
  </si>
  <si>
    <t>DQ-005</t>
  </si>
  <si>
    <t>Currency is null for a monetary record.</t>
  </si>
  <si>
    <t>Quarantine or flag; do not classify amount change.</t>
  </si>
  <si>
    <t>Do not state commercial amount movement.</t>
  </si>
  <si>
    <t>Nonzero SO amount has no currency.</t>
  </si>
  <si>
    <t>DQ-006</t>
  </si>
  <si>
    <t>Currency is non-USD and Foreign Amount is null.</t>
  </si>
  <si>
    <t>Flag record and suppress commercial change classification.</t>
  </si>
  <si>
    <t>Do not infer from USD movement.</t>
  </si>
  <si>
    <t>EUR invoice has USD amount but no EUR amount.</t>
  </si>
  <si>
    <t>DQ-007</t>
  </si>
  <si>
    <t>Currency is non-USD and Exchange Rate is null or zero.</t>
  </si>
  <si>
    <t>Flag; USD reporting may load only if source USD value is independently reconciled.</t>
  </si>
  <si>
    <t>State that FX attribution is unavailable.</t>
  </si>
  <si>
    <t>GBP invoice has no exchange rate.</t>
  </si>
  <si>
    <t>DQ-008</t>
  </si>
  <si>
    <t>USD Reconciliation</t>
  </si>
  <si>
    <t>ABS(Source USD Amount - Foreign Amount × Exchange Rate) exceeds tolerance.</t>
  </si>
  <si>
    <t>Medium</t>
  </si>
  <si>
    <t>Store reconciliation variance and flag for review.</t>
  </si>
  <si>
    <t>Use source reporting amount but identify reconciliation issue if material.</t>
  </si>
  <si>
    <t>Calculated USD differs by $2,500.</t>
  </si>
  <si>
    <t>DQ-009</t>
  </si>
  <si>
    <t>Currency Change</t>
  </si>
  <si>
    <t>Current Currency differs from Prior Currency for the same Internal ID.</t>
  </si>
  <si>
    <t>Generate currency_changed control event before any amount event.</t>
  </si>
  <si>
    <t>Do not compare foreign amounts across different currencies.</t>
  </si>
  <si>
    <t>SO changes from EUR to USD.</t>
  </si>
  <si>
    <t>DQ-010</t>
  </si>
  <si>
    <t>Revenue Date is null for an open or planned record.</t>
  </si>
  <si>
    <t>Pipeline, SO, Budget</t>
  </si>
  <si>
    <t>Load with unassigned period and create period_missing exception.</t>
  </si>
  <si>
    <t>Exclude from period-specific totals or disclose as unassigned.</t>
  </si>
  <si>
    <t>Open SO has no End Date.</t>
  </si>
  <si>
    <t>DQ-011</t>
  </si>
  <si>
    <t>Derived Revenue Period falls outside supported reporting horizon or is invalid.</t>
  </si>
  <si>
    <t>Flag for review; retain source date.</t>
  </si>
  <si>
    <t>Do not group into valid forecast period.</t>
  </si>
  <si>
    <t>Revenue date is 01/01/2099.</t>
  </si>
  <si>
    <t>DQ-012</t>
  </si>
  <si>
    <t>Pipeline Qualification</t>
  </si>
  <si>
    <t>Likely to Close is null or outside accepted scale.</t>
  </si>
  <si>
    <t>Load but do not establish original qualifying baseline.</t>
  </si>
  <si>
    <t>Identify pipeline qualification coverage gap.</t>
  </si>
  <si>
    <t>Likely to Close = 9 on a 1–5 scale.</t>
  </si>
  <si>
    <t>DQ-013</t>
  </si>
  <si>
    <t>SO Amount Logic</t>
  </si>
  <si>
    <t>Open Amount is negative or exceeds Amount (Net) beyond tolerance.</t>
  </si>
  <si>
    <t>Flag and exclude from visibility until resolved.</t>
  </si>
  <si>
    <t>Do not state as committed revenue.</t>
  </si>
  <si>
    <t>Open amount is $550k on a $500k SO.</t>
  </si>
  <si>
    <t>DQ-014</t>
  </si>
  <si>
    <t>Invoice Amount Logic</t>
  </si>
  <si>
    <t>USD Net Revenue is materially greater than USD Invoice Amount without an approved rule.</t>
  </si>
  <si>
    <t>Flag for accounting review.</t>
  </si>
  <si>
    <t>Do not use in actual-vs-plan explanation until resolved.</t>
  </si>
  <si>
    <t>Net revenue exceeds gross invoice amount.</t>
  </si>
  <si>
    <t>DQ-015</t>
  </si>
  <si>
    <t>Baseline Integrity</t>
  </si>
  <si>
    <t>Original baseline fields changed after the baseline was locked.</t>
  </si>
  <si>
    <t>All lifecycle sources</t>
  </si>
  <si>
    <t>Reject overwrite; retain first baseline and log control exception.</t>
  </si>
  <si>
    <t>Use locked baseline only.</t>
  </si>
  <si>
    <t>Original SO amount changes after day 1.</t>
  </si>
  <si>
    <t>DQ-016</t>
  </si>
  <si>
    <t>Current comparison has no prior successful snapshot.</t>
  </si>
  <si>
    <t>Informational</t>
  </si>
  <si>
    <t>Treat as new record or baseline event, not an amount change.</t>
  </si>
  <si>
    <t>Describe as newly appearing where appropriate.</t>
  </si>
  <si>
    <t>New SO appears in today’s load.</t>
  </si>
  <si>
    <t>DQ-017</t>
  </si>
  <si>
    <t>Status Consistency</t>
  </si>
  <si>
    <t>Record status indicates closed/cancelled but open amount remains material.</t>
  </si>
  <si>
    <t>Pipeline, SO</t>
  </si>
  <si>
    <t>Flag and apply documented status precedence.</t>
  </si>
  <si>
    <t>Avoid overstating visibility.</t>
  </si>
  <si>
    <t>Cancelled SO retains $200k open amount.</t>
  </si>
  <si>
    <t>DQ-018</t>
  </si>
  <si>
    <t>Budget Grain</t>
  </si>
  <si>
    <t>Multiple approved budget rows exist for the same planning grain and forecast version.</t>
  </si>
  <si>
    <t>Fail duplicate grain validation or aggregate only under documented rules.</t>
  </si>
  <si>
    <t>Do not compare actuals to duplicated plan.</t>
  </si>
  <si>
    <t>Two FY26 Q3 rows for same customer/department.</t>
  </si>
  <si>
    <t>DQ-019</t>
  </si>
  <si>
    <t>Source-to-GL Reconciliation</t>
  </si>
  <si>
    <t>Invoice revenue extract does not reconcile to approved GL revenue within tolerance.</t>
  </si>
  <si>
    <t>Invoice / actuals</t>
  </si>
  <si>
    <t>Fail actual revenue certification for the period.</t>
  </si>
  <si>
    <t>Label actuals as preliminary and suppress definitive conclusions.</t>
  </si>
  <si>
    <t>Invoice extract differs from GL by $75k.</t>
  </si>
  <si>
    <t>DQ-020</t>
  </si>
  <si>
    <t>Materiality</t>
  </si>
  <si>
    <t>Calculated change is below configured amount and percentage thresholds.</t>
  </si>
  <si>
    <t>Store detail optionally; exclude from executive summary.</t>
  </si>
  <si>
    <t>Do not clutter management commentary.</t>
  </si>
  <si>
    <t>$50 movement on a $500k SO.</t>
  </si>
  <si>
    <t>Expected Output Examples</t>
  </si>
  <si>
    <t>Concrete sample rows showing how the Consolidated Revenue Snapshot and Revenue Change Log should look. Values are illustrative and should be used for development testing.</t>
  </si>
  <si>
    <t>A. Consolidated Revenue Snapshot — Sample Rows</t>
  </si>
  <si>
    <t>Status / Stage</t>
  </si>
  <si>
    <t>Record Status</t>
  </si>
  <si>
    <t>2026-07-20</t>
  </si>
  <si>
    <t>PIPELINE</t>
  </si>
  <si>
    <t>EST-1001-ID</t>
  </si>
  <si>
    <t>EST1001</t>
  </si>
  <si>
    <t>Customer A</t>
  </si>
  <si>
    <t>Beauty</t>
  </si>
  <si>
    <t>2026-09-01</t>
  </si>
  <si>
    <t>Likely to Close 4</t>
  </si>
  <si>
    <t>Active</t>
  </si>
  <si>
    <t>2026-07-21</t>
  </si>
  <si>
    <t>2026-10-01</t>
  </si>
  <si>
    <t>SO</t>
  </si>
  <si>
    <t>SO-7001-ID</t>
  </si>
  <si>
    <t>SO7001</t>
  </si>
  <si>
    <t>Pending Fulfillment</t>
  </si>
  <si>
    <t>Open</t>
  </si>
  <si>
    <t>INVOICE</t>
  </si>
  <si>
    <t>INV-9001-ID</t>
  </si>
  <si>
    <t>INV9001</t>
  </si>
  <si>
    <t>2026-07-01</t>
  </si>
  <si>
    <t>Posted</t>
  </si>
  <si>
    <t>BUDGET</t>
  </si>
  <si>
    <t>BUD-2607-A</t>
  </si>
  <si>
    <t>FY26-Jul-A</t>
  </si>
  <si>
    <t>Approved</t>
  </si>
  <si>
    <t>B. Revenue Change Log — Sample Rows</t>
  </si>
  <si>
    <t>Event Date</t>
  </si>
  <si>
    <t>Original Foreign</t>
  </si>
  <si>
    <t>Prior Foreign</t>
  </si>
  <si>
    <t>Current Foreign</t>
  </si>
  <si>
    <t>Delta vs Prior USD</t>
  </si>
  <si>
    <t>Prior Period</t>
  </si>
  <si>
    <t>Current Period</t>
  </si>
  <si>
    <t>Deterministic Description</t>
  </si>
  <si>
    <t>EST1001 moved from September 2026 to October 2026; the underlying EUR amount did not change.</t>
  </si>
  <si>
    <t>SO7001 increased by EUR 50,000. Reported USD increased by $62,000, including both business and exchange-rate effects.</t>
  </si>
  <si>
    <t>fx_translation_only</t>
  </si>
  <si>
    <t>EST1001 reported USD increased by $6,000 solely because of exchange-rate movement; no commercial amount change occurred.</t>
  </si>
  <si>
    <t>pipeline_to_so_conversion</t>
  </si>
  <si>
    <t>EST1001 converted to SO7001 with EUR 300,000 of order value.</t>
  </si>
  <si>
    <t>so_to_invoice_partial</t>
  </si>
  <si>
    <t>SO7001 open value decreased because INV9001 invoiced EUR 100,000; this is not lost revenue.</t>
  </si>
  <si>
    <t>missing_exchange_rate</t>
  </si>
  <si>
    <t>INV9010</t>
  </si>
  <si>
    <t>EST-1010-ID</t>
  </si>
  <si>
    <t>Customer B</t>
  </si>
  <si>
    <t>2026-08-01</t>
  </si>
  <si>
    <t>INV9010 is denominated in GBP but has no exchange rate; USD and FX attribution require review.</t>
  </si>
  <si>
    <t>C. Expected AI Summary — Example</t>
  </si>
  <si>
    <t>Today’s revenue changes reduced September visibility by $330,000 and increased October visibility by the same amount because EST1001 moved one month later. SO7001 increased by EUR 50,000; reported USD increased by $62,000, with part of the movement caused by FX. A separate $6,000 pipeline USD movement was FX-only and was excluded from commercial change totals. EUR 100,000 of SO7001 was invoiced through INV9001 and should be treated as execution rather than lost revenue. One GBP invoice is missing an exchange rate and requires review before its USD impact can be certified.</t>
  </si>
  <si>
    <t>Deliverable</t>
  </si>
  <si>
    <t>Primary Workbook Tabs</t>
  </si>
  <si>
    <t>Purpose</t>
  </si>
  <si>
    <t>1. Consolidated Revenue Snapshot</t>
  </si>
  <si>
    <t>8_Consolidated Snapshot</t>
  </si>
  <si>
    <t>Defines the consolidated revenue table structure and standardized fields.</t>
  </si>
  <si>
    <t>2. Revenue Comparison Layer</t>
  </si>
  <si>
    <r>
      <t>9_DW Processing</t>
    </r>
    <r>
      <rPr>
        <sz val="11"/>
        <color theme="1"/>
        <rFont val="Calibri"/>
        <family val="2"/>
      </rPr>
      <t xml:space="preserve"> + </t>
    </r>
    <r>
      <rPr>
        <b/>
        <sz val="11"/>
        <color theme="1"/>
        <rFont val="Calibri"/>
        <family val="2"/>
      </rPr>
      <t>2_Baseline Definitions</t>
    </r>
  </si>
  <si>
    <t>Explains how to retrieve Original, Prior, and Current snapshots and compare them.</t>
  </si>
  <si>
    <t>3. Revenue Change Log</t>
  </si>
  <si>
    <r>
      <t>3_Change Rules</t>
    </r>
    <r>
      <rPr>
        <sz val="11"/>
        <color theme="1"/>
        <rFont val="Calibri"/>
        <family val="2"/>
      </rPr>
      <t xml:space="preserve"> + </t>
    </r>
    <r>
      <rPr>
        <b/>
        <sz val="11"/>
        <color theme="1"/>
        <rFont val="Calibri"/>
        <family val="2"/>
      </rPr>
      <t>13_Expected Outputs</t>
    </r>
  </si>
  <si>
    <t>Defines how comparisons become business events and shows expected output.</t>
  </si>
  <si>
    <t>Column</t>
  </si>
  <si>
    <t>Data Type</t>
  </si>
  <si>
    <t>Description</t>
  </si>
  <si>
    <t>snapshot_date</t>
  </si>
  <si>
    <t>DATE</t>
  </si>
  <si>
    <t>Date snapshot was taken</t>
  </si>
  <si>
    <t>System</t>
  </si>
  <si>
    <t>snapshot_ts</t>
  </si>
  <si>
    <t>TIMESTAMP</t>
  </si>
  <si>
    <t>Exact timestamp</t>
  </si>
  <si>
    <t>VARCHAR(20)</t>
  </si>
  <si>
    <t>PIPELINE / SO / INVOICE / BUDGET</t>
  </si>
  <si>
    <t>internal_id</t>
  </si>
  <si>
    <t>BIGINT</t>
  </si>
  <si>
    <t>NetSuite Internal ID</t>
  </si>
  <si>
    <t>VARCHAR(50)</t>
  </si>
  <si>
    <t>Lifecycle ID (EST#/Project)</t>
  </si>
  <si>
    <t>Estimate/SO/Invoice Number</t>
  </si>
  <si>
    <t>consolidated_customer</t>
  </si>
  <si>
    <t>VARCHAR(200)</t>
  </si>
  <si>
    <t>Parent reporting customer</t>
  </si>
  <si>
    <t>top_level_parent</t>
  </si>
  <si>
    <t>Ultimate parent</t>
  </si>
  <si>
    <t>department</t>
  </si>
  <si>
    <t>VARCHAR(100)</t>
  </si>
  <si>
    <t>sales_rep</t>
  </si>
  <si>
    <t>Account Manager</t>
  </si>
  <si>
    <t>project_name</t>
  </si>
  <si>
    <t>VARCHAR(250)</t>
  </si>
  <si>
    <t>status</t>
  </si>
  <si>
    <t>Current status</t>
  </si>
  <si>
    <t>stage</t>
  </si>
  <si>
    <t>Pipeline/SO Stage</t>
  </si>
  <si>
    <t>created_date</t>
  </si>
  <si>
    <t>Record creation date</t>
  </si>
  <si>
    <t>revenue_date</t>
  </si>
  <si>
    <t>Promised delivery / invoice date</t>
  </si>
  <si>
    <t>revenue_period</t>
  </si>
  <si>
    <t>First day of revenue month</t>
  </si>
  <si>
    <t>foreign_amount</t>
  </si>
  <si>
    <t>NUMERIC(18,2)</t>
  </si>
  <si>
    <t>Native currency amount</t>
  </si>
  <si>
    <t>VARCHAR(10)</t>
  </si>
  <si>
    <t>exchange_rate</t>
  </si>
  <si>
    <t>NUMERIC(18,8)</t>
  </si>
  <si>
    <t>FX Rate at snapshot</t>
  </si>
  <si>
    <t>usd_amount</t>
  </si>
  <si>
    <t>USD equivalent</t>
  </si>
  <si>
    <t>VARCHAR(30)</t>
  </si>
  <si>
    <t>is_active</t>
  </si>
  <si>
    <t>BOOLEAN</t>
  </si>
  <si>
    <t>Record active in current snapshot</t>
  </si>
  <si>
    <t>L'Oréal</t>
  </si>
  <si>
    <t>Snapshot TS</t>
  </si>
  <si>
    <t>EST100234</t>
  </si>
  <si>
    <t>L'Oréal USA</t>
  </si>
  <si>
    <t>John Smith</t>
  </si>
  <si>
    <t>Prada Holiday Mailer</t>
  </si>
  <si>
    <t>Proposal</t>
  </si>
  <si>
    <t>EST100251</t>
  </si>
  <si>
    <t>Estée Lauder</t>
  </si>
  <si>
    <t>Jane Lee</t>
  </si>
  <si>
    <t>ELC Holiday Kit</t>
  </si>
  <si>
    <t>Negotiation</t>
  </si>
  <si>
    <t>EST100120</t>
  </si>
  <si>
    <t>SO40231</t>
  </si>
  <si>
    <t>Target</t>
  </si>
  <si>
    <t>Target Corp</t>
  </si>
  <si>
    <t>Retail</t>
  </si>
  <si>
    <t>Sarah Kim</t>
  </si>
  <si>
    <t>Target Luggage Inline</t>
  </si>
  <si>
    <t>Released</t>
  </si>
  <si>
    <t>EST100187</t>
  </si>
  <si>
    <t>SO40288</t>
  </si>
  <si>
    <t>NYU</t>
  </si>
  <si>
    <t>Mike Brown</t>
  </si>
  <si>
    <t>NYU Replenishment</t>
  </si>
  <si>
    <t>EST100098</t>
  </si>
  <si>
    <t>INV90654</t>
  </si>
  <si>
    <t>YSL Launch Kit</t>
  </si>
  <si>
    <t>Paid</t>
  </si>
  <si>
    <t>Invoiced</t>
  </si>
  <si>
    <t>BUD202609</t>
  </si>
  <si>
    <t>September Budget</t>
  </si>
  <si>
    <t>September Forecast</t>
  </si>
  <si>
    <t>Forecast</t>
  </si>
  <si>
    <t>On Day 1</t>
  </si>
  <si>
    <t>Few days later - table APPENDS new snapshot</t>
  </si>
  <si>
    <t>Results in below comparison view</t>
  </si>
  <si>
    <t>Amount Change</t>
  </si>
  <si>
    <t>+1 month</t>
  </si>
  <si>
    <t>Original Source Type</t>
  </si>
  <si>
    <t>Prior Source Type</t>
  </si>
  <si>
    <t>Current Source Type</t>
  </si>
  <si>
    <t>Source Type Change</t>
  </si>
  <si>
    <t>Current Document</t>
  </si>
  <si>
    <t>PIPELINE_TO_SO</t>
  </si>
  <si>
    <t>SO40315</t>
  </si>
  <si>
    <t>Converted to Sales Order</t>
  </si>
  <si>
    <t>NO_CHANGE</t>
  </si>
  <si>
    <t>No lifecycle change</t>
  </si>
  <si>
    <t>No Shift</t>
  </si>
  <si>
    <t>Comparison Type</t>
  </si>
  <si>
    <t>From Snapshot</t>
  </si>
  <si>
    <t>To Snapshot</t>
  </si>
  <si>
    <t>Prior Source</t>
  </si>
  <si>
    <t>Current Source</t>
  </si>
  <si>
    <t>Prior Document</t>
  </si>
  <si>
    <t>Prior Revenue Period</t>
  </si>
  <si>
    <t>Prior Amount</t>
  </si>
  <si>
    <t>DOD</t>
  </si>
  <si>
    <t>CVS</t>
  </si>
  <si>
    <t>Holiday Gifting</t>
  </si>
  <si>
    <t>EST100310</t>
  </si>
  <si>
    <t>SO40581</t>
  </si>
  <si>
    <t>Travel Program</t>
  </si>
  <si>
    <t>Fall Replenishment</t>
  </si>
  <si>
    <t>EST100441</t>
  </si>
  <si>
    <t>—</t>
  </si>
  <si>
    <t>Ulta</t>
  </si>
  <si>
    <t>Spring Launch</t>
  </si>
  <si>
    <t>EST100190</t>
  </si>
  <si>
    <t>Shiseido</t>
  </si>
  <si>
    <t>Sampling Program</t>
  </si>
  <si>
    <t>Revenue Movement Reports</t>
  </si>
  <si>
    <t>Revenue Period Change</t>
  </si>
  <si>
    <t>No Change</t>
  </si>
  <si>
    <t>+ 1 Month</t>
  </si>
  <si>
    <t>Comparison Code</t>
  </si>
  <si>
    <t>Period A</t>
  </si>
  <si>
    <t>Period B</t>
  </si>
  <si>
    <t>Previous Snapshot</t>
  </si>
  <si>
    <t>Latest Snapshot</t>
  </si>
  <si>
    <t>CY</t>
  </si>
  <si>
    <t>WOW</t>
  </si>
  <si>
    <t>MTD_LY</t>
  </si>
  <si>
    <t>Jul-26 MTD</t>
  </si>
  <si>
    <t>Jul-25 MTD</t>
  </si>
  <si>
    <t>YTD_LY</t>
  </si>
  <si>
    <t>2026 YTD</t>
  </si>
  <si>
    <t>2025 YTD</t>
  </si>
  <si>
    <t>MOM</t>
  </si>
  <si>
    <t>Stored in DB</t>
  </si>
  <si>
    <t>Temporary</t>
  </si>
  <si>
    <t>Custom dates</t>
  </si>
  <si>
    <t>Report Name</t>
  </si>
  <si>
    <t>Daily Revenue Summary</t>
  </si>
  <si>
    <t>Weekly Revenue Summary</t>
  </si>
  <si>
    <t>Monthly Revenue Summary</t>
  </si>
  <si>
    <t>Monthly vs LY</t>
  </si>
  <si>
    <t>YTD vs LY</t>
  </si>
  <si>
    <t>QOQ</t>
  </si>
  <si>
    <t>Quarterly Revenue Summary</t>
  </si>
  <si>
    <t>QTR_LY</t>
  </si>
  <si>
    <t>Quarter vs LY</t>
  </si>
  <si>
    <t>Q2-to-date 2026</t>
  </si>
  <si>
    <t>Q2-to-date 2025</t>
  </si>
  <si>
    <t>Yesterday Snapshot</t>
  </si>
  <si>
    <t>Today snapshot</t>
  </si>
  <si>
    <t>Previous Monday AM Snapshot</t>
  </si>
  <si>
    <t>Current Monday AM Snapshot</t>
  </si>
  <si>
    <t>Compare by Anchor ID &amp; Customer</t>
  </si>
  <si>
    <t>Pipeline to SO; SO to invoice etc</t>
  </si>
  <si>
    <t>Merchandise</t>
  </si>
  <si>
    <t>Prior Snapshot Period</t>
  </si>
  <si>
    <t>Current Snapshot Period</t>
  </si>
  <si>
    <t>Report Type</t>
  </si>
  <si>
    <t>From Period</t>
  </si>
  <si>
    <t>To Period</t>
  </si>
  <si>
    <t>Monday 12am 7/19/2026</t>
  </si>
  <si>
    <t>Monday 12am 7/13/2026</t>
  </si>
  <si>
    <t>vw_revenue_comparison_WoW</t>
  </si>
  <si>
    <t>vw_revenue_comparison_DoD</t>
  </si>
  <si>
    <t>Explains changes over time; which customers and projects (Anchor IDs) moved in terms of amount, lifecycle, and revenue period.</t>
  </si>
  <si>
    <t>How does TY compare with LY and what is the breakdown by pipeline vs SO vs Invoice</t>
  </si>
  <si>
    <t>INV11111</t>
  </si>
  <si>
    <t>Not Paid</t>
  </si>
  <si>
    <t>Partial Invoice Scenario</t>
  </si>
  <si>
    <t>Day 1 - Revenue Snapshot</t>
  </si>
  <si>
    <t>Day  2 - Revenue Snapshot</t>
  </si>
  <si>
    <t>Prior Pipeline Amt</t>
  </si>
  <si>
    <t>Current Pipeline Amt</t>
  </si>
  <si>
    <t>Prior Invoice Amt</t>
  </si>
  <si>
    <t>Current Invoice Amt</t>
  </si>
  <si>
    <t>PARTIALLY_INVOICED</t>
  </si>
  <si>
    <t>Pipeline Amount Change</t>
  </si>
  <si>
    <t>Open SO Amount change</t>
  </si>
  <si>
    <t>Invoice Amount Change</t>
  </si>
  <si>
    <t>Total Current (Col M + Col I)</t>
  </si>
  <si>
    <t>Total Prior (col K + col H )</t>
  </si>
  <si>
    <t>check</t>
  </si>
  <si>
    <t>Total Amount change (col O - Col N)</t>
  </si>
  <si>
    <t>total change (col P) - ( Invoice amount change + Open SO change ) = 0 ; If equal 0 then True, otherwise false</t>
  </si>
  <si>
    <t>Other Project Info</t>
  </si>
  <si>
    <t>Sales Rep / Account Manager</t>
  </si>
  <si>
    <t>Prior Open SO Amt</t>
  </si>
  <si>
    <t>Current Open SO Amt</t>
  </si>
  <si>
    <t>Prior Pipeline Rev Date</t>
  </si>
  <si>
    <t>Current Pipeline Rev Date</t>
  </si>
  <si>
    <t>Pipeline Revenue Date Change</t>
  </si>
  <si>
    <t>Prior SO Rev Date</t>
  </si>
  <si>
    <t>Current SO Rev Date</t>
  </si>
  <si>
    <t>SO Revenue Date Change</t>
  </si>
  <si>
    <t>Current Invoice Date</t>
  </si>
  <si>
    <t xml:space="preserve">Prior Invoice Date </t>
  </si>
  <si>
    <t>Subsidiary</t>
  </si>
  <si>
    <t>All amounts in original foreign currency</t>
  </si>
  <si>
    <t>USD_SO Amount Change</t>
  </si>
  <si>
    <t>USD_Invoice Amount Change</t>
  </si>
  <si>
    <t>Foreign amount x Exchange rate</t>
  </si>
  <si>
    <t>USD_Total Amount Change</t>
  </si>
  <si>
    <t>Total Amount change in foreight curr x Exchange rate</t>
  </si>
  <si>
    <t>Comparison Table</t>
  </si>
  <si>
    <t>Revenue Date Change Summary</t>
  </si>
  <si>
    <t>If current open amount = 0, then revenue date changes is irrelevant; otherwise show changes in +/- in months; in this case "No change in revenue period"</t>
  </si>
  <si>
    <t>If current pipeline = 0, then revenue date changes is "irrelevant"; otherwise show changes in +/- in months.</t>
  </si>
  <si>
    <t>Invoice Revenue Period Summary</t>
  </si>
  <si>
    <t>If current invoice amount = 0, then revenue date changes is irrelevant; otherwise show changes in +/- in months between current invoice period and open SO current revenue period; in this case "-2 months"</t>
  </si>
  <si>
    <t>Customer Name (Consolidated Customer)</t>
  </si>
  <si>
    <t>Lifecycle Events:</t>
  </si>
  <si>
    <t>Pipeline Change</t>
  </si>
  <si>
    <t>SO Change</t>
  </si>
  <si>
    <t>Invoice Change</t>
  </si>
  <si>
    <t>Lifecycle:</t>
  </si>
  <si>
    <t xml:space="preserve"> = 0</t>
  </si>
  <si>
    <t>&gt; 0</t>
  </si>
  <si>
    <t>Added to pipeline; anchor ID is EST</t>
  </si>
  <si>
    <t xml:space="preserve"> &lt; 0</t>
  </si>
  <si>
    <t>Pipeline Deleted / Removed</t>
  </si>
  <si>
    <t>Pipeline Converted to SO</t>
  </si>
  <si>
    <t>SO partially invoiced</t>
  </si>
  <si>
    <t>SO Fully invoiced</t>
  </si>
  <si>
    <t>SO Deleted</t>
  </si>
  <si>
    <t>SO Open / Not Invoiced</t>
  </si>
  <si>
    <t>Pipeline Open</t>
  </si>
  <si>
    <t>Pipeline Open / No Change</t>
  </si>
  <si>
    <t>If Created from EST then, "Pipeline Converted to SO"; if no created from EST then "Added to SO (no original pipeline)"; anchor ID is SO</t>
  </si>
  <si>
    <t>Check if created from SO or EST, then pipeline or SO converted to Invoice, otherwise Invoiced w/ no EST and NO SO; anchor ID is Invoice</t>
  </si>
  <si>
    <t>Pipeline Amount increased</t>
  </si>
  <si>
    <t>Pipeline Amount decreased</t>
  </si>
  <si>
    <t>SO Amount increased</t>
  </si>
  <si>
    <t>SO Amount decreased</t>
  </si>
  <si>
    <t>Pipeline Converted to SO --&gt; Prior period SO = 0 and Current Period SO &gt; 0</t>
  </si>
  <si>
    <t>SO Partially Invoiced --&gt; Open SO &gt; 0 and Invoiced Current &gt; 0</t>
  </si>
  <si>
    <t>SO Fully Invoiced --&gt; Open SO = 0 and Invoiced &gt;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</si>
</sst>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yyyy\-mm"/>
    <numFmt numFmtId="167" formatCode="_(* #,##0_);_(* \(#,##0\);_(* &quot;-&quot;??_);_(@_)"/>
  </numFmts>
  <fonts count="16" x14ac:knownFonts="1">
    <font>
      <sz val="11"/>
      <color theme="1"/>
      <name val="Calibri"/>
    </font>
    <font>
      <sz val="11"/>
      <color theme="1"/>
      <name val="Calibri"/>
      <family val="2"/>
    </font>
    <font>
      <sz val="11"/>
      <color theme="1"/>
      <name val="Calibri"/>
      <family val="2"/>
    </font>
    <font>
      <sz val="11"/>
      <color theme="1"/>
      <name val="Calibri"/>
      <family val="2"/>
    </font>
    <font>
      <b/>
      <sz val="11"/>
      <name val="Calibri"/>
      <family val="2"/>
    </font>
    <font>
      <b/>
      <sz val="11"/>
      <color rgb="FFFFFFFF"/>
      <name val="Calibri"/>
      <family val="2"/>
    </font>
    <font>
      <b/>
      <sz val="11"/>
      <color rgb="FFFFFFFF"/>
      <name val="Calibri"/>
      <family val="2"/>
    </font>
    <font>
      <i/>
      <sz val="11"/>
      <color rgb="FF7F6000"/>
      <name val="Calibri"/>
      <family val="2"/>
    </font>
    <font>
      <b/>
      <sz val="14"/>
      <color rgb="FFFFFFFF"/>
      <name val="Calibri"/>
      <family val="2"/>
    </font>
    <font>
      <i/>
      <sz val="11"/>
      <color rgb="FF555555"/>
      <name val="Calibri"/>
      <family val="2"/>
    </font>
    <font>
      <b/>
      <sz val="11"/>
      <color rgb="FF1F1F1F"/>
      <name val="Calibri"/>
      <family val="2"/>
    </font>
    <font>
      <b/>
      <sz val="11"/>
      <color theme="1"/>
      <name val="Calibri"/>
      <family val="2"/>
    </font>
    <font>
      <b/>
      <sz val="11"/>
      <color rgb="FF0000FF"/>
      <name val="Calibri"/>
      <family val="2"/>
    </font>
    <font>
      <b/>
      <sz val="11"/>
      <color rgb="FFFF0000"/>
      <name val="Calibri"/>
      <family val="2"/>
    </font>
    <font>
      <sz val="11"/>
      <color theme="1"/>
      <name val="Calibri"/>
      <family val="2"/>
    </font>
    <font>
      <b/>
      <sz val="14"/>
      <color rgb="FF0000FF"/>
      <name val="Calibri"/>
      <family val="2"/>
    </font>
  </fonts>
  <fills count="16">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23">
    <border>
      <left/>
      <right/>
      <top/>
      <bottom/>
      <diagonal/>
    </border>
    <border>
      <left/>
      <right/>
      <top/>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1"/>
    <xf numFmtId="43" fontId="14" fillId="0" borderId="0" applyFont="0" applyFill="0" applyBorder="0" applyAlignment="0" applyProtection="0"/>
  </cellStyleXfs>
  <cellXfs count="175">
    <xf numFmtId="0" fontId="0" fillId="0" borderId="0" xfId="0" applyBorder="1"/>
    <xf numFmtId="0" fontId="4" fillId="0" borderId="0" xfId="0" applyFont="1" applyBorder="1"/>
    <xf numFmtId="0" fontId="0" fillId="0" borderId="0" xfId="0" applyBorder="1" applyAlignment="1">
      <alignment vertical="top" wrapText="1"/>
    </xf>
    <xf numFmtId="0" fontId="5" fillId="2" borderId="0" xfId="0" applyFont="1" applyFill="1" applyBorder="1" applyAlignment="1">
      <alignment horizontal="center" vertical="top" wrapText="1"/>
    </xf>
    <xf numFmtId="0" fontId="6" fillId="2" borderId="0" xfId="0" applyFont="1" applyFill="1" applyBorder="1" applyAlignment="1">
      <alignment horizontal="center" vertical="top" wrapText="1"/>
    </xf>
    <xf numFmtId="4" fontId="0" fillId="0" borderId="0" xfId="0" applyNumberFormat="1" applyBorder="1" applyAlignment="1">
      <alignment vertical="top" wrapText="1"/>
    </xf>
    <xf numFmtId="0" fontId="7" fillId="3" borderId="0" xfId="0" applyFont="1" applyFill="1" applyBorder="1" applyAlignment="1">
      <alignment vertical="top"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164" fontId="0" fillId="0" borderId="5" xfId="0" applyNumberFormat="1" applyBorder="1" applyAlignment="1">
      <alignment vertical="top" wrapText="1"/>
    </xf>
    <xf numFmtId="164" fontId="0" fillId="0" borderId="8" xfId="0" applyNumberFormat="1" applyBorder="1" applyAlignment="1">
      <alignment vertical="top" wrapText="1"/>
    </xf>
    <xf numFmtId="164" fontId="0" fillId="0" borderId="10" xfId="0" applyNumberFormat="1" applyBorder="1" applyAlignment="1">
      <alignment vertical="top" wrapText="1"/>
    </xf>
    <xf numFmtId="165" fontId="0" fillId="0" borderId="6" xfId="0" applyNumberFormat="1" applyBorder="1" applyAlignment="1">
      <alignment vertical="top" wrapText="1"/>
    </xf>
    <xf numFmtId="165" fontId="0" fillId="0" borderId="0" xfId="0" applyNumberFormat="1" applyBorder="1" applyAlignment="1">
      <alignment vertical="top" wrapText="1"/>
    </xf>
    <xf numFmtId="165" fontId="0" fillId="0" borderId="11" xfId="0" applyNumberFormat="1" applyBorder="1" applyAlignment="1">
      <alignment vertical="top" wrapText="1"/>
    </xf>
    <xf numFmtId="4" fontId="0" fillId="0" borderId="6" xfId="0" applyNumberFormat="1" applyBorder="1" applyAlignment="1">
      <alignment vertical="top" wrapText="1"/>
    </xf>
    <xf numFmtId="4" fontId="0" fillId="0" borderId="11" xfId="0" applyNumberFormat="1" applyBorder="1" applyAlignment="1">
      <alignment vertical="top" wrapText="1"/>
    </xf>
    <xf numFmtId="0" fontId="11" fillId="0" borderId="0" xfId="0" applyFont="1" applyBorder="1" applyAlignment="1">
      <alignment horizontal="center" vertical="center" wrapText="1"/>
    </xf>
    <xf numFmtId="0" fontId="11" fillId="0" borderId="0" xfId="0" applyFont="1" applyBorder="1" applyAlignment="1">
      <alignment vertical="center" wrapText="1"/>
    </xf>
    <xf numFmtId="0" fontId="3" fillId="0" borderId="0" xfId="0" applyFont="1" applyBorder="1" applyAlignment="1">
      <alignment vertical="center" wrapText="1"/>
    </xf>
    <xf numFmtId="0" fontId="11" fillId="8" borderId="0" xfId="0" applyFont="1" applyFill="1" applyBorder="1" applyAlignment="1">
      <alignment vertical="center" wrapText="1"/>
    </xf>
    <xf numFmtId="0" fontId="11" fillId="9" borderId="0" xfId="0" applyFont="1" applyFill="1" applyBorder="1" applyAlignment="1">
      <alignment vertical="center" wrapText="1"/>
    </xf>
    <xf numFmtId="0" fontId="11" fillId="10" borderId="0" xfId="0" applyFont="1" applyFill="1" applyBorder="1" applyAlignment="1">
      <alignment vertical="center" wrapText="1"/>
    </xf>
    <xf numFmtId="0" fontId="4" fillId="9" borderId="13" xfId="0" applyFont="1" applyFill="1" applyBorder="1"/>
    <xf numFmtId="0" fontId="2" fillId="0" borderId="0" xfId="0" applyFont="1" applyBorder="1" applyAlignment="1">
      <alignment vertical="center" wrapText="1"/>
    </xf>
    <xf numFmtId="0" fontId="11" fillId="0" borderId="0" xfId="0" applyFont="1" applyBorder="1" applyAlignment="1">
      <alignment horizontal="center" vertical="center"/>
    </xf>
    <xf numFmtId="0" fontId="2" fillId="0" borderId="0" xfId="0" applyFont="1" applyBorder="1" applyAlignment="1">
      <alignment vertical="center"/>
    </xf>
    <xf numFmtId="3" fontId="2" fillId="0" borderId="0" xfId="0" applyNumberFormat="1" applyFont="1" applyBorder="1" applyAlignment="1">
      <alignment horizontal="right" vertical="center" wrapText="1"/>
    </xf>
    <xf numFmtId="0" fontId="2" fillId="0" borderId="0" xfId="0" applyFont="1" applyBorder="1"/>
    <xf numFmtId="0" fontId="11" fillId="0" borderId="0" xfId="0" applyFont="1" applyBorder="1"/>
    <xf numFmtId="0" fontId="12" fillId="0" borderId="0" xfId="0" applyFont="1" applyBorder="1"/>
    <xf numFmtId="0" fontId="11" fillId="0" borderId="13" xfId="0" applyFont="1" applyBorder="1" applyAlignment="1">
      <alignment horizontal="center" vertical="center" wrapText="1"/>
    </xf>
    <xf numFmtId="0" fontId="11" fillId="0" borderId="13" xfId="0" applyFont="1" applyBorder="1" applyAlignment="1">
      <alignment horizontal="right" vertical="center" wrapText="1"/>
    </xf>
    <xf numFmtId="0" fontId="0" fillId="0" borderId="0" xfId="0" applyBorder="1" applyAlignment="1">
      <alignment wrapText="1"/>
    </xf>
    <xf numFmtId="14" fontId="2" fillId="0" borderId="0" xfId="0" applyNumberFormat="1" applyFont="1" applyBorder="1" applyAlignment="1">
      <alignment vertical="center"/>
    </xf>
    <xf numFmtId="22" fontId="2" fillId="0" borderId="0" xfId="0" applyNumberFormat="1" applyFont="1" applyBorder="1" applyAlignment="1">
      <alignment vertical="center"/>
    </xf>
    <xf numFmtId="0" fontId="2" fillId="0" borderId="0" xfId="0" applyFont="1" applyBorder="1" applyAlignment="1">
      <alignment horizontal="right" vertical="center"/>
    </xf>
    <xf numFmtId="3" fontId="2" fillId="0" borderId="0" xfId="0" applyNumberFormat="1" applyFont="1" applyBorder="1" applyAlignment="1">
      <alignment horizontal="right" vertical="center"/>
    </xf>
    <xf numFmtId="0" fontId="0" fillId="0" borderId="0" xfId="0" applyBorder="1" applyAlignment="1">
      <alignment vertical="center"/>
    </xf>
    <xf numFmtId="14" fontId="2" fillId="10" borderId="0" xfId="0" applyNumberFormat="1" applyFont="1" applyFill="1" applyBorder="1" applyAlignment="1">
      <alignment vertical="center" wrapText="1"/>
    </xf>
    <xf numFmtId="14" fontId="2" fillId="10" borderId="1" xfId="0" applyNumberFormat="1" applyFont="1" applyFill="1" applyAlignment="1">
      <alignment vertical="center" wrapText="1"/>
    </xf>
    <xf numFmtId="0" fontId="2" fillId="10" borderId="0" xfId="0" applyFont="1" applyFill="1" applyBorder="1" applyAlignment="1">
      <alignment vertical="center" wrapText="1"/>
    </xf>
    <xf numFmtId="0" fontId="2" fillId="10" borderId="0" xfId="0" applyFont="1" applyFill="1" applyBorder="1" applyAlignment="1">
      <alignment horizontal="right" vertical="center" wrapText="1"/>
    </xf>
    <xf numFmtId="0" fontId="2" fillId="10" borderId="0" xfId="0" applyFont="1" applyFill="1" applyBorder="1" applyAlignment="1">
      <alignment vertical="center"/>
    </xf>
    <xf numFmtId="0" fontId="0" fillId="10" borderId="0" xfId="0" applyFill="1" applyBorder="1"/>
    <xf numFmtId="3" fontId="2" fillId="10" borderId="0" xfId="0" applyNumberFormat="1" applyFont="1" applyFill="1" applyBorder="1" applyAlignment="1">
      <alignment horizontal="right" vertical="center" wrapText="1"/>
    </xf>
    <xf numFmtId="14" fontId="2" fillId="10" borderId="0" xfId="0" applyNumberFormat="1" applyFont="1" applyFill="1" applyBorder="1" applyAlignment="1">
      <alignment vertical="center"/>
    </xf>
    <xf numFmtId="22" fontId="2" fillId="10" borderId="0" xfId="0" applyNumberFormat="1" applyFont="1" applyFill="1" applyBorder="1" applyAlignment="1">
      <alignment vertical="center"/>
    </xf>
    <xf numFmtId="0" fontId="2" fillId="10" borderId="0" xfId="0" applyFont="1" applyFill="1" applyBorder="1" applyAlignment="1">
      <alignment horizontal="right" vertical="center"/>
    </xf>
    <xf numFmtId="3" fontId="2" fillId="10" borderId="0" xfId="0" applyNumberFormat="1" applyFont="1" applyFill="1" applyBorder="1" applyAlignment="1">
      <alignment horizontal="right" vertical="center"/>
    </xf>
    <xf numFmtId="14" fontId="2" fillId="11" borderId="0" xfId="0" applyNumberFormat="1" applyFont="1" applyFill="1" applyBorder="1" applyAlignment="1">
      <alignment vertical="center" wrapText="1"/>
    </xf>
    <xf numFmtId="14" fontId="2" fillId="11" borderId="1" xfId="0" applyNumberFormat="1" applyFont="1" applyFill="1" applyAlignment="1">
      <alignment vertical="center" wrapText="1"/>
    </xf>
    <xf numFmtId="0" fontId="2" fillId="11" borderId="0" xfId="0" applyFont="1" applyFill="1" applyBorder="1" applyAlignment="1">
      <alignment vertical="center" wrapText="1"/>
    </xf>
    <xf numFmtId="0" fontId="2" fillId="11" borderId="0" xfId="0" applyFont="1" applyFill="1" applyBorder="1" applyAlignment="1">
      <alignment horizontal="right" vertical="center" wrapText="1"/>
    </xf>
    <xf numFmtId="0" fontId="2" fillId="11" borderId="0" xfId="0" applyFont="1" applyFill="1" applyBorder="1" applyAlignment="1">
      <alignment vertical="center"/>
    </xf>
    <xf numFmtId="0" fontId="0" fillId="11" borderId="0" xfId="0" applyFill="1" applyBorder="1"/>
    <xf numFmtId="3" fontId="2" fillId="11" borderId="0" xfId="0" applyNumberFormat="1" applyFont="1" applyFill="1" applyBorder="1" applyAlignment="1">
      <alignment horizontal="right" vertical="center" wrapText="1"/>
    </xf>
    <xf numFmtId="14" fontId="2" fillId="11" borderId="0" xfId="0" applyNumberFormat="1" applyFont="1" applyFill="1" applyBorder="1" applyAlignment="1">
      <alignment vertical="center"/>
    </xf>
    <xf numFmtId="22" fontId="2" fillId="11" borderId="0" xfId="0" applyNumberFormat="1" applyFont="1" applyFill="1" applyBorder="1" applyAlignment="1">
      <alignment vertical="center"/>
    </xf>
    <xf numFmtId="0" fontId="2" fillId="11" borderId="0" xfId="0" applyFont="1" applyFill="1" applyBorder="1" applyAlignment="1">
      <alignment horizontal="right" vertical="center"/>
    </xf>
    <xf numFmtId="3" fontId="2" fillId="11" borderId="0" xfId="0" applyNumberFormat="1" applyFont="1" applyFill="1" applyBorder="1" applyAlignment="1">
      <alignment horizontal="right" vertical="center"/>
    </xf>
    <xf numFmtId="14" fontId="2" fillId="9" borderId="0" xfId="0" applyNumberFormat="1" applyFont="1" applyFill="1" applyBorder="1" applyAlignment="1">
      <alignment vertical="center"/>
    </xf>
    <xf numFmtId="22" fontId="2" fillId="9" borderId="0" xfId="0" applyNumberFormat="1" applyFont="1" applyFill="1" applyBorder="1" applyAlignment="1">
      <alignment vertical="center"/>
    </xf>
    <xf numFmtId="0" fontId="2" fillId="9" borderId="0" xfId="0" applyFont="1" applyFill="1" applyBorder="1" applyAlignment="1">
      <alignment vertical="center"/>
    </xf>
    <xf numFmtId="0" fontId="2" fillId="9" borderId="0" xfId="0" applyFont="1" applyFill="1" applyBorder="1" applyAlignment="1">
      <alignment horizontal="right" vertical="center"/>
    </xf>
    <xf numFmtId="3" fontId="2" fillId="9" borderId="0" xfId="0" applyNumberFormat="1" applyFont="1" applyFill="1" applyBorder="1" applyAlignment="1">
      <alignment horizontal="right" vertical="center"/>
    </xf>
    <xf numFmtId="0" fontId="12" fillId="0" borderId="1" xfId="0" applyFont="1"/>
    <xf numFmtId="0" fontId="0" fillId="0" borderId="1" xfId="0"/>
    <xf numFmtId="0" fontId="13" fillId="0" borderId="0" xfId="0" applyFont="1" applyBorder="1"/>
    <xf numFmtId="0" fontId="2" fillId="0" borderId="1" xfId="0" applyFont="1" applyAlignment="1">
      <alignment vertical="center" wrapText="1"/>
    </xf>
    <xf numFmtId="0" fontId="11" fillId="12" borderId="13" xfId="0" applyFont="1" applyFill="1" applyBorder="1" applyAlignment="1">
      <alignment horizontal="center" vertical="center" wrapText="1"/>
    </xf>
    <xf numFmtId="0" fontId="2" fillId="10" borderId="0" xfId="0" applyFont="1" applyFill="1" applyBorder="1"/>
    <xf numFmtId="0" fontId="11" fillId="12" borderId="13" xfId="0" applyFont="1" applyFill="1" applyBorder="1" applyAlignment="1">
      <alignment horizontal="right" vertical="center" wrapText="1"/>
    </xf>
    <xf numFmtId="0" fontId="2" fillId="10" borderId="1" xfId="0" applyFont="1" applyFill="1" applyAlignment="1">
      <alignment vertical="center"/>
    </xf>
    <xf numFmtId="0" fontId="2" fillId="0" borderId="1" xfId="0" applyFont="1" applyAlignment="1">
      <alignment vertical="center"/>
    </xf>
    <xf numFmtId="14" fontId="2" fillId="13" borderId="0" xfId="0" applyNumberFormat="1" applyFont="1" applyFill="1" applyBorder="1" applyAlignment="1">
      <alignment vertical="center"/>
    </xf>
    <xf numFmtId="22" fontId="2" fillId="13" borderId="0" xfId="0" applyNumberFormat="1" applyFont="1" applyFill="1" applyBorder="1" applyAlignment="1">
      <alignment vertical="center"/>
    </xf>
    <xf numFmtId="0" fontId="2" fillId="13" borderId="0" xfId="0" applyFont="1" applyFill="1" applyBorder="1" applyAlignment="1">
      <alignment vertical="center"/>
    </xf>
    <xf numFmtId="0" fontId="2" fillId="13" borderId="0" xfId="0" applyFont="1" applyFill="1" applyBorder="1" applyAlignment="1">
      <alignment horizontal="right" vertical="center"/>
    </xf>
    <xf numFmtId="3" fontId="2" fillId="13" borderId="0" xfId="0" applyNumberFormat="1" applyFont="1" applyFill="1" applyBorder="1" applyAlignment="1">
      <alignment horizontal="right" vertical="center"/>
    </xf>
    <xf numFmtId="14" fontId="2" fillId="13" borderId="1" xfId="0" applyNumberFormat="1" applyFont="1" applyFill="1" applyAlignment="1">
      <alignment vertical="center"/>
    </xf>
    <xf numFmtId="0" fontId="2" fillId="11" borderId="0" xfId="0" applyFont="1" applyFill="1" applyBorder="1"/>
    <xf numFmtId="14" fontId="2" fillId="0" borderId="0" xfId="0" applyNumberFormat="1" applyFont="1" applyBorder="1" applyAlignment="1">
      <alignment vertical="center" wrapText="1"/>
    </xf>
    <xf numFmtId="14" fontId="2" fillId="0" borderId="1" xfId="0" applyNumberFormat="1" applyFont="1" applyAlignment="1">
      <alignment vertical="center" wrapText="1"/>
    </xf>
    <xf numFmtId="0" fontId="2" fillId="0" borderId="0" xfId="0" applyFont="1" applyBorder="1" applyAlignment="1">
      <alignment horizontal="right" vertical="center" wrapText="1"/>
    </xf>
    <xf numFmtId="0" fontId="2" fillId="0" borderId="1" xfId="0" applyFont="1"/>
    <xf numFmtId="16" fontId="2" fillId="0" borderId="0" xfId="0" applyNumberFormat="1" applyFont="1" applyBorder="1" applyAlignment="1">
      <alignment vertical="center"/>
    </xf>
    <xf numFmtId="16" fontId="2" fillId="0" borderId="1" xfId="0" applyNumberFormat="1" applyFont="1" applyAlignment="1">
      <alignment vertical="center"/>
    </xf>
    <xf numFmtId="16" fontId="2" fillId="0" borderId="1" xfId="0" quotePrefix="1" applyNumberFormat="1" applyFont="1" applyAlignment="1">
      <alignment vertical="center"/>
    </xf>
    <xf numFmtId="0" fontId="2" fillId="0" borderId="0" xfId="0" applyFont="1" applyBorder="1" applyAlignment="1">
      <alignment horizontal="center" vertical="center" wrapText="1"/>
    </xf>
    <xf numFmtId="0" fontId="0" fillId="0" borderId="0" xfId="0" applyBorder="1" applyAlignment="1">
      <alignment horizontal="center"/>
    </xf>
    <xf numFmtId="0" fontId="2" fillId="0" borderId="1" xfId="0" applyFont="1" applyAlignment="1">
      <alignment horizontal="center" vertical="center" wrapText="1"/>
    </xf>
    <xf numFmtId="0" fontId="2" fillId="0" borderId="1" xfId="0" applyFont="1" applyAlignment="1">
      <alignment horizontal="center"/>
    </xf>
    <xf numFmtId="0" fontId="0" fillId="0" borderId="1" xfId="0" applyAlignment="1">
      <alignment horizontal="center"/>
    </xf>
    <xf numFmtId="0" fontId="11" fillId="0" borderId="13" xfId="0" applyFont="1" applyBorder="1" applyAlignment="1">
      <alignment vertical="center" wrapText="1"/>
    </xf>
    <xf numFmtId="0" fontId="2" fillId="13" borderId="1" xfId="0" applyFont="1" applyFill="1" applyAlignment="1">
      <alignment vertical="center"/>
    </xf>
    <xf numFmtId="0" fontId="2" fillId="11" borderId="1" xfId="0" applyFont="1" applyFill="1" applyAlignment="1">
      <alignment vertical="center"/>
    </xf>
    <xf numFmtId="14" fontId="0" fillId="0" borderId="0" xfId="0" applyNumberFormat="1" applyBorder="1"/>
    <xf numFmtId="14" fontId="2" fillId="0" borderId="0" xfId="0" applyNumberFormat="1" applyFont="1" applyBorder="1"/>
    <xf numFmtId="0" fontId="11" fillId="0" borderId="14" xfId="0" applyFont="1" applyBorder="1" applyAlignment="1">
      <alignment horizontal="center"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0" fontId="0" fillId="0" borderId="16" xfId="0" applyBorder="1"/>
    <xf numFmtId="0" fontId="0" fillId="0" borderId="17" xfId="0" applyBorder="1"/>
    <xf numFmtId="0" fontId="2" fillId="0" borderId="18" xfId="0" applyFont="1" applyBorder="1" applyAlignment="1">
      <alignment vertical="center" wrapText="1"/>
    </xf>
    <xf numFmtId="0" fontId="0" fillId="0" borderId="19" xfId="0" applyBorder="1"/>
    <xf numFmtId="16" fontId="2" fillId="0" borderId="1" xfId="0" applyNumberFormat="1" applyFont="1" applyAlignment="1">
      <alignment horizontal="center"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21" xfId="0" applyFont="1" applyBorder="1" applyAlignment="1">
      <alignment horizontal="center"/>
    </xf>
    <xf numFmtId="0" fontId="0" fillId="0" borderId="21" xfId="0" applyBorder="1"/>
    <xf numFmtId="0" fontId="0" fillId="0" borderId="22" xfId="0" applyBorder="1"/>
    <xf numFmtId="0" fontId="11" fillId="0" borderId="14" xfId="0" applyFont="1" applyBorder="1" applyAlignment="1">
      <alignment horizontal="center"/>
    </xf>
    <xf numFmtId="0" fontId="2" fillId="0" borderId="16" xfId="0" applyFont="1" applyBorder="1" applyAlignment="1">
      <alignment horizontal="center" vertical="center" wrapText="1"/>
    </xf>
    <xf numFmtId="0" fontId="2" fillId="0" borderId="1" xfId="0" applyFont="1" applyAlignment="1">
      <alignment horizontal="center" vertical="center" wrapText="1"/>
    </xf>
    <xf numFmtId="0" fontId="2" fillId="0" borderId="21" xfId="0" applyFont="1" applyBorder="1" applyAlignment="1">
      <alignment horizontal="center" vertical="center" wrapText="1"/>
    </xf>
    <xf numFmtId="0" fontId="0" fillId="7" borderId="0" xfId="0" applyFill="1" applyBorder="1" applyAlignment="1">
      <alignment vertical="top" wrapText="1"/>
    </xf>
    <xf numFmtId="0" fontId="8" fillId="4" borderId="0" xfId="0" applyFont="1" applyFill="1" applyBorder="1" applyAlignment="1">
      <alignment horizontal="left" vertical="center"/>
    </xf>
    <xf numFmtId="0" fontId="9" fillId="0" borderId="0" xfId="0" applyFont="1" applyBorder="1" applyAlignment="1">
      <alignment wrapText="1"/>
    </xf>
    <xf numFmtId="0" fontId="10" fillId="6" borderId="0" xfId="0" applyFont="1" applyFill="1" applyBorder="1"/>
    <xf numFmtId="0" fontId="1" fillId="0" borderId="0" xfId="0" applyFont="1" applyBorder="1"/>
    <xf numFmtId="167" fontId="0" fillId="0" borderId="0" xfId="1" applyNumberFormat="1" applyFont="1" applyBorder="1"/>
    <xf numFmtId="0" fontId="0" fillId="0" borderId="1" xfId="0" applyBorder="1"/>
    <xf numFmtId="0" fontId="1" fillId="0" borderId="1" xfId="0" applyFont="1" applyBorder="1"/>
    <xf numFmtId="0" fontId="12" fillId="0" borderId="1" xfId="0" applyFont="1" applyBorder="1"/>
    <xf numFmtId="0" fontId="1" fillId="0" borderId="1" xfId="0" applyFont="1" applyFill="1" applyBorder="1"/>
    <xf numFmtId="0" fontId="2" fillId="0" borderId="0" xfId="0" applyFont="1" applyFill="1" applyBorder="1" applyAlignment="1">
      <alignment vertical="center"/>
    </xf>
    <xf numFmtId="14" fontId="2" fillId="0" borderId="0" xfId="0" applyNumberFormat="1" applyFont="1" applyFill="1" applyBorder="1" applyAlignment="1">
      <alignment vertical="center"/>
    </xf>
    <xf numFmtId="22" fontId="2" fillId="0" borderId="0" xfId="0" applyNumberFormat="1" applyFont="1" applyFill="1" applyBorder="1" applyAlignment="1">
      <alignment vertical="center"/>
    </xf>
    <xf numFmtId="0" fontId="2" fillId="0" borderId="0" xfId="0" applyFont="1" applyFill="1" applyBorder="1" applyAlignment="1">
      <alignment horizontal="right" vertical="center"/>
    </xf>
    <xf numFmtId="3" fontId="2" fillId="0" borderId="0" xfId="0" applyNumberFormat="1" applyFont="1" applyFill="1" applyBorder="1" applyAlignment="1">
      <alignment horizontal="right" vertical="center"/>
    </xf>
    <xf numFmtId="0" fontId="0" fillId="0" borderId="0" xfId="0" applyFill="1" applyBorder="1"/>
    <xf numFmtId="0" fontId="1" fillId="0" borderId="0" xfId="0" applyFont="1" applyFill="1" applyBorder="1"/>
    <xf numFmtId="0" fontId="1" fillId="0" borderId="1" xfId="0" applyFont="1" applyFill="1" applyBorder="1" applyAlignment="1">
      <alignment vertical="center"/>
    </xf>
    <xf numFmtId="14" fontId="0" fillId="0" borderId="0" xfId="0" applyNumberFormat="1" applyFill="1" applyBorder="1"/>
    <xf numFmtId="3" fontId="0" fillId="0" borderId="0" xfId="0" applyNumberFormat="1" applyFill="1" applyBorder="1"/>
    <xf numFmtId="0" fontId="1" fillId="0" borderId="0" xfId="0" applyFont="1" applyBorder="1" applyAlignment="1">
      <alignment vertical="center" wrapText="1"/>
    </xf>
    <xf numFmtId="0" fontId="1" fillId="0" borderId="0" xfId="0" applyFont="1" applyBorder="1" applyAlignment="1">
      <alignment horizontal="right" vertical="center" wrapText="1"/>
    </xf>
    <xf numFmtId="3" fontId="1" fillId="0" borderId="0" xfId="0" applyNumberFormat="1" applyFont="1" applyBorder="1" applyAlignment="1">
      <alignment horizontal="right" vertical="center" wrapText="1"/>
    </xf>
    <xf numFmtId="0" fontId="1" fillId="0" borderId="1" xfId="0" applyFont="1" applyBorder="1" applyAlignment="1">
      <alignment vertical="center" wrapText="1"/>
    </xf>
    <xf numFmtId="14" fontId="1" fillId="0" borderId="1" xfId="0" applyNumberFormat="1" applyFont="1" applyBorder="1" applyAlignment="1">
      <alignment vertical="center" wrapText="1"/>
    </xf>
    <xf numFmtId="14" fontId="0" fillId="0" borderId="0" xfId="0" applyNumberFormat="1" applyBorder="1" applyAlignment="1">
      <alignment horizontal="center"/>
    </xf>
    <xf numFmtId="0" fontId="1" fillId="0" borderId="1" xfId="0" applyFont="1" applyBorder="1" applyAlignment="1">
      <alignment horizontal="right" vertical="center" wrapText="1"/>
    </xf>
    <xf numFmtId="14" fontId="1" fillId="0" borderId="1" xfId="0" applyNumberFormat="1" applyFont="1" applyBorder="1" applyAlignment="1">
      <alignment horizontal="center"/>
    </xf>
    <xf numFmtId="3" fontId="1" fillId="0" borderId="1" xfId="0" applyNumberFormat="1" applyFont="1" applyBorder="1" applyAlignment="1">
      <alignment horizontal="right" vertical="center" wrapText="1"/>
    </xf>
    <xf numFmtId="0" fontId="11" fillId="0" borderId="13" xfId="0" applyFont="1" applyFill="1" applyBorder="1" applyAlignment="1">
      <alignment horizontal="center" vertical="center" wrapText="1"/>
    </xf>
    <xf numFmtId="0" fontId="11" fillId="14" borderId="13" xfId="0" applyFont="1" applyFill="1" applyBorder="1" applyAlignment="1">
      <alignment horizontal="center" vertical="center" wrapText="1"/>
    </xf>
    <xf numFmtId="0" fontId="11" fillId="13" borderId="13" xfId="0" applyFont="1" applyFill="1" applyBorder="1" applyAlignment="1">
      <alignment horizontal="center" vertical="center" wrapText="1"/>
    </xf>
    <xf numFmtId="0" fontId="11" fillId="15" borderId="13" xfId="0" applyFont="1" applyFill="1" applyBorder="1" applyAlignment="1">
      <alignment horizontal="center" vertical="center" wrapText="1"/>
    </xf>
    <xf numFmtId="0" fontId="11" fillId="10" borderId="13" xfId="0" applyFont="1" applyFill="1" applyBorder="1" applyAlignment="1">
      <alignment horizontal="center" vertical="center" wrapText="1"/>
    </xf>
    <xf numFmtId="14" fontId="1" fillId="0" borderId="1" xfId="0" applyNumberFormat="1" applyFont="1" applyBorder="1" applyAlignment="1">
      <alignment horizontal="right" vertical="center" wrapText="1"/>
    </xf>
    <xf numFmtId="14"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0" fontId="0" fillId="0" borderId="1" xfId="0" applyBorder="1" applyAlignment="1">
      <alignment wrapText="1"/>
    </xf>
    <xf numFmtId="0" fontId="15" fillId="0" borderId="0" xfId="0" applyFont="1" applyBorder="1"/>
    <xf numFmtId="0" fontId="1" fillId="0" borderId="0" xfId="0" applyFont="1" applyBorder="1" applyAlignment="1">
      <alignment horizontal="center"/>
    </xf>
    <xf numFmtId="0" fontId="1" fillId="0" borderId="1" xfId="0" quotePrefix="1" applyFont="1" applyBorder="1" applyAlignment="1">
      <alignment horizontal="center"/>
    </xf>
    <xf numFmtId="0" fontId="1" fillId="0" borderId="1" xfId="0" quotePrefix="1" applyFont="1" applyFill="1" applyBorder="1" applyAlignment="1">
      <alignment horizontal="center"/>
    </xf>
    <xf numFmtId="0" fontId="1" fillId="0" borderId="0" xfId="0" quotePrefix="1" applyFont="1" applyBorder="1" applyAlignment="1">
      <alignment horizontal="center"/>
    </xf>
    <xf numFmtId="0" fontId="1" fillId="0" borderId="0" xfId="0" applyFont="1" applyBorder="1" applyAlignment="1">
      <alignment horizontal="left"/>
    </xf>
    <xf numFmtId="0" fontId="1" fillId="0" borderId="1" xfId="0" applyFont="1" applyBorder="1" applyAlignment="1">
      <alignment horizontal="left"/>
    </xf>
    <xf numFmtId="0" fontId="1" fillId="0" borderId="1" xfId="0" applyFont="1" applyFill="1" applyBorder="1" applyAlignment="1">
      <alignment horizontal="left"/>
    </xf>
    <xf numFmtId="0" fontId="1" fillId="10" borderId="0" xfId="0" quotePrefix="1" applyFont="1" applyFill="1" applyBorder="1" applyAlignment="1">
      <alignment horizontal="center"/>
    </xf>
    <xf numFmtId="0" fontId="1" fillId="10" borderId="1" xfId="0" quotePrefix="1" applyFont="1" applyFill="1" applyBorder="1" applyAlignment="1">
      <alignment horizontal="center"/>
    </xf>
    <xf numFmtId="0" fontId="1" fillId="10" borderId="0"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1"/>
  <sheetViews>
    <sheetView workbookViewId="0">
      <selection activeCell="I30" sqref="I30"/>
    </sheetView>
  </sheetViews>
  <sheetFormatPr defaultRowHeight="15" x14ac:dyDescent="0.25"/>
  <sheetData>
    <row r="1" spans="1:1" x14ac:dyDescent="0.25">
      <c r="A1" s="1" t="s">
        <v>279</v>
      </c>
    </row>
    <row r="3" spans="1:1" x14ac:dyDescent="0.25">
      <c r="A3" t="s">
        <v>280</v>
      </c>
    </row>
    <row r="4" spans="1:1" x14ac:dyDescent="0.25">
      <c r="A4" t="s">
        <v>281</v>
      </c>
    </row>
    <row r="5" spans="1:1" x14ac:dyDescent="0.25">
      <c r="A5" t="s">
        <v>282</v>
      </c>
    </row>
    <row r="6" spans="1:1" x14ac:dyDescent="0.25">
      <c r="A6" t="s">
        <v>281</v>
      </c>
    </row>
    <row r="7" spans="1:1" x14ac:dyDescent="0.25">
      <c r="A7" t="s">
        <v>283</v>
      </c>
    </row>
    <row r="8" spans="1:1" x14ac:dyDescent="0.25">
      <c r="A8" t="s">
        <v>281</v>
      </c>
    </row>
    <row r="9" spans="1:1" x14ac:dyDescent="0.25">
      <c r="A9" t="s">
        <v>284</v>
      </c>
    </row>
    <row r="10" spans="1:1" x14ac:dyDescent="0.25">
      <c r="A10" t="s">
        <v>281</v>
      </c>
    </row>
    <row r="11" spans="1:1" x14ac:dyDescent="0.25">
      <c r="A11" t="s">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453F-1CFB-4A4E-ADB0-4BFA21621DBD}">
  <sheetPr>
    <tabColor theme="1"/>
  </sheetPr>
  <dimension ref="B3:D6"/>
  <sheetViews>
    <sheetView workbookViewId="0">
      <selection activeCell="D25" sqref="D24:D25"/>
    </sheetView>
  </sheetViews>
  <sheetFormatPr defaultRowHeight="15" x14ac:dyDescent="0.25"/>
  <cols>
    <col min="2" max="2" width="21.7109375" customWidth="1"/>
    <col min="3" max="3" width="24.5703125" customWidth="1"/>
    <col min="4" max="4" width="34.140625" customWidth="1"/>
  </cols>
  <sheetData>
    <row r="3" spans="2:4" x14ac:dyDescent="0.25">
      <c r="B3" s="26" t="s">
        <v>738</v>
      </c>
      <c r="C3" s="26" t="s">
        <v>739</v>
      </c>
      <c r="D3" s="26" t="s">
        <v>740</v>
      </c>
    </row>
    <row r="4" spans="2:4" ht="45" x14ac:dyDescent="0.25">
      <c r="B4" s="27" t="s">
        <v>741</v>
      </c>
      <c r="C4" s="30" t="s">
        <v>742</v>
      </c>
      <c r="D4" s="28" t="s">
        <v>743</v>
      </c>
    </row>
    <row r="5" spans="2:4" ht="45" x14ac:dyDescent="0.25">
      <c r="B5" s="27" t="s">
        <v>744</v>
      </c>
      <c r="C5" s="29" t="s">
        <v>745</v>
      </c>
      <c r="D5" s="28" t="s">
        <v>746</v>
      </c>
    </row>
    <row r="6" spans="2:4" ht="45" x14ac:dyDescent="0.25">
      <c r="B6" s="27" t="s">
        <v>747</v>
      </c>
      <c r="C6" s="31" t="s">
        <v>748</v>
      </c>
      <c r="D6" s="28" t="s">
        <v>749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
  <sheetViews>
    <sheetView workbookViewId="0">
      <selection activeCell="I2" sqref="I2"/>
    </sheetView>
  </sheetViews>
  <sheetFormatPr defaultRowHeight="15" x14ac:dyDescent="0.25"/>
  <cols>
    <col min="1" max="1" width="11.5703125" bestFit="1" customWidth="1"/>
    <col min="2" max="2" width="23" bestFit="1" customWidth="1"/>
    <col min="3" max="3" width="22.28515625" bestFit="1" customWidth="1"/>
    <col min="4" max="6" width="22.140625" bestFit="1" customWidth="1"/>
    <col min="7" max="7" width="38.28515625" bestFit="1" customWidth="1"/>
  </cols>
  <sheetData>
    <row r="1" spans="1:7" x14ac:dyDescent="0.25">
      <c r="A1" s="32" t="s">
        <v>286</v>
      </c>
      <c r="B1" s="32" t="s">
        <v>287</v>
      </c>
      <c r="C1" s="32" t="s">
        <v>288</v>
      </c>
      <c r="D1" s="32" t="s">
        <v>289</v>
      </c>
      <c r="E1" s="32" t="s">
        <v>290</v>
      </c>
      <c r="F1" s="32" t="s">
        <v>291</v>
      </c>
      <c r="G1" s="32" t="s">
        <v>292</v>
      </c>
    </row>
    <row r="2" spans="1:7" x14ac:dyDescent="0.25">
      <c r="A2" t="s">
        <v>293</v>
      </c>
      <c r="B2" t="s">
        <v>64</v>
      </c>
      <c r="C2" t="s">
        <v>65</v>
      </c>
      <c r="D2" t="s">
        <v>65</v>
      </c>
      <c r="E2" t="s">
        <v>65</v>
      </c>
      <c r="F2" t="s">
        <v>294</v>
      </c>
      <c r="G2" t="s">
        <v>295</v>
      </c>
    </row>
    <row r="3" spans="1:7" x14ac:dyDescent="0.25">
      <c r="A3" t="s">
        <v>293</v>
      </c>
      <c r="B3" t="s">
        <v>296</v>
      </c>
      <c r="C3" t="s">
        <v>296</v>
      </c>
      <c r="D3" t="s">
        <v>296</v>
      </c>
      <c r="E3" t="s">
        <v>296</v>
      </c>
      <c r="F3" t="s">
        <v>296</v>
      </c>
      <c r="G3" t="s">
        <v>297</v>
      </c>
    </row>
    <row r="4" spans="1:7" x14ac:dyDescent="0.25">
      <c r="A4" t="s">
        <v>293</v>
      </c>
      <c r="B4" t="s">
        <v>298</v>
      </c>
      <c r="C4" t="s">
        <v>298</v>
      </c>
      <c r="D4" t="s">
        <v>298</v>
      </c>
      <c r="E4" t="s">
        <v>298</v>
      </c>
      <c r="F4" t="s">
        <v>298</v>
      </c>
      <c r="G4" t="s">
        <v>299</v>
      </c>
    </row>
    <row r="5" spans="1:7" x14ac:dyDescent="0.25">
      <c r="A5" t="s">
        <v>293</v>
      </c>
      <c r="B5" t="s">
        <v>7</v>
      </c>
      <c r="C5" t="s">
        <v>7</v>
      </c>
      <c r="D5" t="s">
        <v>7</v>
      </c>
      <c r="E5" t="s">
        <v>7</v>
      </c>
      <c r="F5" t="s">
        <v>7</v>
      </c>
      <c r="G5" t="s">
        <v>300</v>
      </c>
    </row>
    <row r="6" spans="1:7" x14ac:dyDescent="0.25">
      <c r="A6" t="s">
        <v>293</v>
      </c>
      <c r="B6" t="s">
        <v>9</v>
      </c>
      <c r="C6" t="s">
        <v>9</v>
      </c>
      <c r="D6" t="s">
        <v>9</v>
      </c>
      <c r="E6" t="s">
        <v>9</v>
      </c>
      <c r="F6" t="s">
        <v>10</v>
      </c>
      <c r="G6" t="s">
        <v>301</v>
      </c>
    </row>
    <row r="7" spans="1:7" x14ac:dyDescent="0.25">
      <c r="A7" t="s">
        <v>293</v>
      </c>
      <c r="B7" t="s">
        <v>302</v>
      </c>
      <c r="C7" t="s">
        <v>7</v>
      </c>
      <c r="D7" t="s">
        <v>302</v>
      </c>
      <c r="E7" t="s">
        <v>59</v>
      </c>
      <c r="F7" t="s">
        <v>303</v>
      </c>
      <c r="G7" t="s">
        <v>304</v>
      </c>
    </row>
    <row r="8" spans="1:7" x14ac:dyDescent="0.25">
      <c r="A8" t="s">
        <v>12</v>
      </c>
      <c r="B8" t="s">
        <v>13</v>
      </c>
      <c r="C8" t="s">
        <v>13</v>
      </c>
      <c r="D8" t="s">
        <v>13</v>
      </c>
      <c r="E8" t="s">
        <v>13</v>
      </c>
      <c r="F8" t="s">
        <v>13</v>
      </c>
      <c r="G8" t="s">
        <v>303</v>
      </c>
    </row>
    <row r="9" spans="1:7" x14ac:dyDescent="0.25">
      <c r="A9" t="s">
        <v>12</v>
      </c>
      <c r="B9" t="s">
        <v>16</v>
      </c>
      <c r="C9" t="s">
        <v>16</v>
      </c>
      <c r="D9" t="s">
        <v>16</v>
      </c>
      <c r="E9" t="s">
        <v>16</v>
      </c>
      <c r="F9" t="s">
        <v>17</v>
      </c>
      <c r="G9" t="s">
        <v>303</v>
      </c>
    </row>
    <row r="10" spans="1:7" x14ac:dyDescent="0.25">
      <c r="A10" t="s">
        <v>12</v>
      </c>
      <c r="B10" t="s">
        <v>53</v>
      </c>
      <c r="C10" t="s">
        <v>53</v>
      </c>
      <c r="D10" t="s">
        <v>53</v>
      </c>
      <c r="E10" t="s">
        <v>53</v>
      </c>
      <c r="F10" t="s">
        <v>53</v>
      </c>
      <c r="G10" t="s">
        <v>303</v>
      </c>
    </row>
    <row r="11" spans="1:7" x14ac:dyDescent="0.25">
      <c r="A11" t="s">
        <v>12</v>
      </c>
      <c r="B11" t="s">
        <v>305</v>
      </c>
      <c r="C11" t="s">
        <v>303</v>
      </c>
      <c r="D11" t="s">
        <v>51</v>
      </c>
      <c r="E11" t="s">
        <v>51</v>
      </c>
      <c r="F11" t="s">
        <v>52</v>
      </c>
      <c r="G11" t="s">
        <v>303</v>
      </c>
    </row>
    <row r="12" spans="1:7" x14ac:dyDescent="0.25">
      <c r="A12" t="s">
        <v>12</v>
      </c>
      <c r="B12" t="s">
        <v>55</v>
      </c>
      <c r="C12" t="s">
        <v>55</v>
      </c>
      <c r="D12" t="s">
        <v>55</v>
      </c>
      <c r="E12" t="s">
        <v>55</v>
      </c>
      <c r="F12" t="s">
        <v>303</v>
      </c>
      <c r="G12" t="s">
        <v>303</v>
      </c>
    </row>
    <row r="13" spans="1:7" x14ac:dyDescent="0.25">
      <c r="A13" t="s">
        <v>306</v>
      </c>
      <c r="B13" t="s">
        <v>47</v>
      </c>
      <c r="C13" t="s">
        <v>47</v>
      </c>
      <c r="D13" t="s">
        <v>47</v>
      </c>
      <c r="E13" t="s">
        <v>303</v>
      </c>
      <c r="F13" t="s">
        <v>49</v>
      </c>
      <c r="G13" t="s">
        <v>303</v>
      </c>
    </row>
    <row r="14" spans="1:7" x14ac:dyDescent="0.25">
      <c r="A14" t="s">
        <v>306</v>
      </c>
      <c r="B14" t="s">
        <v>307</v>
      </c>
      <c r="C14" t="s">
        <v>307</v>
      </c>
      <c r="D14" t="s">
        <v>307</v>
      </c>
      <c r="E14" t="s">
        <v>303</v>
      </c>
      <c r="F14" t="s">
        <v>303</v>
      </c>
      <c r="G14" t="s">
        <v>303</v>
      </c>
    </row>
    <row r="15" spans="1:7" x14ac:dyDescent="0.25">
      <c r="A15" t="s">
        <v>306</v>
      </c>
      <c r="B15" t="s">
        <v>62</v>
      </c>
      <c r="C15" t="s">
        <v>62</v>
      </c>
      <c r="D15" t="s">
        <v>303</v>
      </c>
      <c r="E15" t="s">
        <v>303</v>
      </c>
      <c r="F15" t="s">
        <v>303</v>
      </c>
      <c r="G15" t="s">
        <v>308</v>
      </c>
    </row>
    <row r="16" spans="1:7" x14ac:dyDescent="0.25">
      <c r="A16" t="s">
        <v>309</v>
      </c>
      <c r="B16" t="s">
        <v>310</v>
      </c>
      <c r="C16" t="s">
        <v>43</v>
      </c>
      <c r="D16" t="s">
        <v>44</v>
      </c>
      <c r="E16" t="s">
        <v>39</v>
      </c>
      <c r="F16" t="s">
        <v>45</v>
      </c>
      <c r="G16" t="s">
        <v>311</v>
      </c>
    </row>
    <row r="17" spans="1:7" x14ac:dyDescent="0.25">
      <c r="A17" t="s">
        <v>309</v>
      </c>
      <c r="B17" t="s">
        <v>36</v>
      </c>
      <c r="C17" t="s">
        <v>312</v>
      </c>
      <c r="D17" t="s">
        <v>38</v>
      </c>
      <c r="E17" t="s">
        <v>39</v>
      </c>
      <c r="F17" t="s">
        <v>40</v>
      </c>
      <c r="G17" t="s">
        <v>303</v>
      </c>
    </row>
    <row r="18" spans="1:7" x14ac:dyDescent="0.25">
      <c r="A18" t="s">
        <v>309</v>
      </c>
      <c r="B18" t="s">
        <v>40</v>
      </c>
      <c r="C18" t="s">
        <v>313</v>
      </c>
      <c r="D18" t="s">
        <v>313</v>
      </c>
      <c r="E18" t="s">
        <v>313</v>
      </c>
      <c r="F18" t="s">
        <v>40</v>
      </c>
      <c r="G18" t="s">
        <v>314</v>
      </c>
    </row>
    <row r="19" spans="1:7" x14ac:dyDescent="0.25">
      <c r="A19" t="s">
        <v>315</v>
      </c>
      <c r="B19" t="s">
        <v>24</v>
      </c>
      <c r="C19" t="s">
        <v>24</v>
      </c>
      <c r="D19" t="s">
        <v>24</v>
      </c>
      <c r="E19" t="s">
        <v>24</v>
      </c>
      <c r="F19" t="s">
        <v>303</v>
      </c>
      <c r="G19" t="s">
        <v>316</v>
      </c>
    </row>
    <row r="20" spans="1:7" x14ac:dyDescent="0.25">
      <c r="A20" t="s">
        <v>315</v>
      </c>
      <c r="B20" t="s">
        <v>317</v>
      </c>
      <c r="C20" t="s">
        <v>27</v>
      </c>
      <c r="D20" t="s">
        <v>318</v>
      </c>
      <c r="E20" t="s">
        <v>29</v>
      </c>
      <c r="F20" t="s">
        <v>30</v>
      </c>
      <c r="G20" t="s">
        <v>319</v>
      </c>
    </row>
    <row r="21" spans="1:7" x14ac:dyDescent="0.25">
      <c r="A21" t="s">
        <v>315</v>
      </c>
      <c r="B21" t="s">
        <v>20</v>
      </c>
      <c r="C21" t="s">
        <v>20</v>
      </c>
      <c r="D21" t="s">
        <v>20</v>
      </c>
      <c r="E21" t="s">
        <v>20</v>
      </c>
      <c r="F21" t="s">
        <v>303</v>
      </c>
      <c r="G21" t="s">
        <v>303</v>
      </c>
    </row>
    <row r="22" spans="1:7" x14ac:dyDescent="0.25">
      <c r="A22" t="s">
        <v>315</v>
      </c>
      <c r="B22" t="s">
        <v>32</v>
      </c>
      <c r="C22" t="s">
        <v>32</v>
      </c>
      <c r="D22" t="s">
        <v>32</v>
      </c>
      <c r="E22" t="s">
        <v>320</v>
      </c>
      <c r="F22" t="s">
        <v>303</v>
      </c>
      <c r="G22" t="s">
        <v>321</v>
      </c>
    </row>
    <row r="23" spans="1:7" x14ac:dyDescent="0.25">
      <c r="A23" t="s">
        <v>313</v>
      </c>
      <c r="B23" t="s">
        <v>322</v>
      </c>
      <c r="C23" t="s">
        <v>313</v>
      </c>
      <c r="D23" t="s">
        <v>313</v>
      </c>
      <c r="E23" t="s">
        <v>313</v>
      </c>
      <c r="F23" t="s">
        <v>303</v>
      </c>
      <c r="G23" t="s">
        <v>323</v>
      </c>
    </row>
    <row r="24" spans="1:7" x14ac:dyDescent="0.25">
      <c r="A24" t="s">
        <v>313</v>
      </c>
      <c r="B24" t="s">
        <v>324</v>
      </c>
      <c r="C24" t="s">
        <v>313</v>
      </c>
      <c r="D24" t="s">
        <v>313</v>
      </c>
      <c r="E24" t="s">
        <v>313</v>
      </c>
      <c r="F24" t="s">
        <v>313</v>
      </c>
      <c r="G24" t="s">
        <v>311</v>
      </c>
    </row>
    <row r="25" spans="1:7" x14ac:dyDescent="0.25">
      <c r="A25" t="s">
        <v>313</v>
      </c>
      <c r="B25" t="s">
        <v>71</v>
      </c>
      <c r="C25" t="s">
        <v>313</v>
      </c>
      <c r="D25" t="s">
        <v>313</v>
      </c>
      <c r="E25" t="s">
        <v>313</v>
      </c>
      <c r="F25" t="s">
        <v>313</v>
      </c>
      <c r="G25" t="s">
        <v>325</v>
      </c>
    </row>
    <row r="26" spans="1:7" x14ac:dyDescent="0.25">
      <c r="A26" t="s">
        <v>313</v>
      </c>
      <c r="B26" t="s">
        <v>326</v>
      </c>
      <c r="C26" t="s">
        <v>313</v>
      </c>
      <c r="D26" t="s">
        <v>313</v>
      </c>
      <c r="E26" t="s">
        <v>313</v>
      </c>
      <c r="F26" t="s">
        <v>313</v>
      </c>
      <c r="G26" t="s">
        <v>327</v>
      </c>
    </row>
    <row r="27" spans="1:7" x14ac:dyDescent="0.25">
      <c r="A27" t="s">
        <v>313</v>
      </c>
      <c r="B27" t="s">
        <v>328</v>
      </c>
      <c r="C27" t="s">
        <v>313</v>
      </c>
      <c r="D27" t="s">
        <v>313</v>
      </c>
      <c r="E27" t="s">
        <v>313</v>
      </c>
      <c r="F27" t="s">
        <v>313</v>
      </c>
      <c r="G27" t="s">
        <v>329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2FE7-59F8-433C-8B1F-1AC2671BE453}">
  <dimension ref="B3:E25"/>
  <sheetViews>
    <sheetView workbookViewId="0">
      <selection activeCell="K17" sqref="K17"/>
    </sheetView>
  </sheetViews>
  <sheetFormatPr defaultRowHeight="15" x14ac:dyDescent="0.25"/>
  <cols>
    <col min="2" max="2" width="22.140625" bestFit="1" customWidth="1"/>
    <col min="3" max="3" width="14.42578125" bestFit="1" customWidth="1"/>
    <col min="4" max="4" width="38.28515625" bestFit="1" customWidth="1"/>
    <col min="5" max="5" width="8" bestFit="1" customWidth="1"/>
  </cols>
  <sheetData>
    <row r="3" spans="2:5" x14ac:dyDescent="0.25">
      <c r="B3" s="34" t="s">
        <v>750</v>
      </c>
      <c r="C3" s="34" t="s">
        <v>751</v>
      </c>
      <c r="D3" s="34" t="s">
        <v>752</v>
      </c>
      <c r="E3" s="34" t="s">
        <v>67</v>
      </c>
    </row>
    <row r="4" spans="2:5" x14ac:dyDescent="0.25">
      <c r="B4" s="35" t="s">
        <v>753</v>
      </c>
      <c r="C4" s="35" t="s">
        <v>754</v>
      </c>
      <c r="D4" s="35" t="s">
        <v>755</v>
      </c>
      <c r="E4" s="35" t="s">
        <v>756</v>
      </c>
    </row>
    <row r="5" spans="2:5" x14ac:dyDescent="0.25">
      <c r="B5" s="35" t="s">
        <v>757</v>
      </c>
      <c r="C5" s="35" t="s">
        <v>758</v>
      </c>
      <c r="D5" s="35" t="s">
        <v>759</v>
      </c>
      <c r="E5" s="35" t="s">
        <v>756</v>
      </c>
    </row>
    <row r="6" spans="2:5" x14ac:dyDescent="0.25">
      <c r="B6" s="35" t="s">
        <v>168</v>
      </c>
      <c r="C6" s="35" t="s">
        <v>760</v>
      </c>
      <c r="D6" s="35" t="s">
        <v>761</v>
      </c>
      <c r="E6" s="35" t="s">
        <v>756</v>
      </c>
    </row>
    <row r="7" spans="2:5" x14ac:dyDescent="0.25">
      <c r="B7" s="35" t="s">
        <v>762</v>
      </c>
      <c r="C7" s="35" t="s">
        <v>763</v>
      </c>
      <c r="D7" s="35" t="s">
        <v>764</v>
      </c>
      <c r="E7" s="35" t="s">
        <v>67</v>
      </c>
    </row>
    <row r="8" spans="2:5" x14ac:dyDescent="0.25">
      <c r="B8" s="35" t="s">
        <v>174</v>
      </c>
      <c r="C8" s="35" t="s">
        <v>765</v>
      </c>
      <c r="D8" s="35" t="s">
        <v>766</v>
      </c>
      <c r="E8" s="35" t="s">
        <v>313</v>
      </c>
    </row>
    <row r="9" spans="2:5" x14ac:dyDescent="0.25">
      <c r="B9" s="35" t="s">
        <v>172</v>
      </c>
      <c r="C9" s="35" t="s">
        <v>765</v>
      </c>
      <c r="D9" s="35" t="s">
        <v>767</v>
      </c>
      <c r="E9" s="35" t="s">
        <v>67</v>
      </c>
    </row>
    <row r="10" spans="2:5" x14ac:dyDescent="0.25">
      <c r="B10" s="35" t="s">
        <v>768</v>
      </c>
      <c r="C10" s="35" t="s">
        <v>769</v>
      </c>
      <c r="D10" s="35" t="s">
        <v>770</v>
      </c>
      <c r="E10" s="35" t="s">
        <v>67</v>
      </c>
    </row>
    <row r="11" spans="2:5" x14ac:dyDescent="0.25">
      <c r="B11" s="35" t="s">
        <v>771</v>
      </c>
      <c r="C11" s="35" t="s">
        <v>769</v>
      </c>
      <c r="D11" s="35" t="s">
        <v>772</v>
      </c>
      <c r="E11" s="35" t="s">
        <v>67</v>
      </c>
    </row>
    <row r="12" spans="2:5" x14ac:dyDescent="0.25">
      <c r="B12" s="35" t="s">
        <v>773</v>
      </c>
      <c r="C12" s="35" t="s">
        <v>774</v>
      </c>
      <c r="D12" s="35" t="s">
        <v>53</v>
      </c>
      <c r="E12" s="35" t="s">
        <v>67</v>
      </c>
    </row>
    <row r="13" spans="2:5" x14ac:dyDescent="0.25">
      <c r="B13" s="35" t="s">
        <v>775</v>
      </c>
      <c r="C13" s="35" t="s">
        <v>774</v>
      </c>
      <c r="D13" s="35" t="s">
        <v>776</v>
      </c>
      <c r="E13" s="35" t="s">
        <v>67</v>
      </c>
    </row>
    <row r="14" spans="2:5" x14ac:dyDescent="0.25">
      <c r="B14" s="35" t="s">
        <v>777</v>
      </c>
      <c r="C14" s="35" t="s">
        <v>778</v>
      </c>
      <c r="D14" s="35" t="s">
        <v>55</v>
      </c>
      <c r="E14" s="35" t="s">
        <v>67</v>
      </c>
    </row>
    <row r="15" spans="2:5" x14ac:dyDescent="0.25">
      <c r="B15" s="35" t="s">
        <v>779</v>
      </c>
      <c r="C15" s="35" t="s">
        <v>774</v>
      </c>
      <c r="D15" s="35" t="s">
        <v>780</v>
      </c>
      <c r="E15" s="35" t="s">
        <v>67</v>
      </c>
    </row>
    <row r="16" spans="2:5" x14ac:dyDescent="0.25">
      <c r="B16" s="35" t="s">
        <v>781</v>
      </c>
      <c r="C16" s="35" t="s">
        <v>774</v>
      </c>
      <c r="D16" s="35" t="s">
        <v>782</v>
      </c>
      <c r="E16" s="35" t="s">
        <v>67</v>
      </c>
    </row>
    <row r="17" spans="2:5" x14ac:dyDescent="0.25">
      <c r="B17" s="35" t="s">
        <v>783</v>
      </c>
      <c r="C17" s="35" t="s">
        <v>754</v>
      </c>
      <c r="D17" s="35" t="s">
        <v>784</v>
      </c>
      <c r="E17" s="35" t="s">
        <v>67</v>
      </c>
    </row>
    <row r="18" spans="2:5" x14ac:dyDescent="0.25">
      <c r="B18" s="35" t="s">
        <v>785</v>
      </c>
      <c r="C18" s="35" t="s">
        <v>754</v>
      </c>
      <c r="D18" s="35" t="s">
        <v>786</v>
      </c>
      <c r="E18" s="35" t="s">
        <v>67</v>
      </c>
    </row>
    <row r="19" spans="2:5" x14ac:dyDescent="0.25">
      <c r="B19" s="35" t="s">
        <v>787</v>
      </c>
      <c r="C19" s="35" t="s">
        <v>754</v>
      </c>
      <c r="D19" s="35" t="s">
        <v>788</v>
      </c>
      <c r="E19" s="35" t="s">
        <v>313</v>
      </c>
    </row>
    <row r="20" spans="2:5" x14ac:dyDescent="0.25">
      <c r="B20" s="35" t="s">
        <v>789</v>
      </c>
      <c r="C20" s="35" t="s">
        <v>790</v>
      </c>
      <c r="D20" s="35" t="s">
        <v>791</v>
      </c>
      <c r="E20" s="35" t="s">
        <v>67</v>
      </c>
    </row>
    <row r="21" spans="2:5" x14ac:dyDescent="0.25">
      <c r="B21" s="35" t="s">
        <v>180</v>
      </c>
      <c r="C21" s="35" t="s">
        <v>792</v>
      </c>
      <c r="D21" s="35" t="s">
        <v>20</v>
      </c>
      <c r="E21" s="35" t="s">
        <v>67</v>
      </c>
    </row>
    <row r="22" spans="2:5" x14ac:dyDescent="0.25">
      <c r="B22" s="35" t="s">
        <v>793</v>
      </c>
      <c r="C22" s="35" t="s">
        <v>794</v>
      </c>
      <c r="D22" s="35" t="s">
        <v>795</v>
      </c>
      <c r="E22" s="35" t="s">
        <v>67</v>
      </c>
    </row>
    <row r="23" spans="2:5" x14ac:dyDescent="0.25">
      <c r="B23" s="35" t="s">
        <v>796</v>
      </c>
      <c r="C23" s="35" t="s">
        <v>790</v>
      </c>
      <c r="D23" s="35" t="s">
        <v>797</v>
      </c>
      <c r="E23" s="35" t="s">
        <v>67</v>
      </c>
    </row>
    <row r="24" spans="2:5" x14ac:dyDescent="0.25">
      <c r="B24" s="35" t="s">
        <v>166</v>
      </c>
      <c r="C24" s="35" t="s">
        <v>798</v>
      </c>
      <c r="D24" s="35" t="s">
        <v>323</v>
      </c>
      <c r="E24" s="35" t="s">
        <v>313</v>
      </c>
    </row>
    <row r="25" spans="2:5" x14ac:dyDescent="0.25">
      <c r="B25" s="35" t="s">
        <v>799</v>
      </c>
      <c r="C25" s="35" t="s">
        <v>800</v>
      </c>
      <c r="D25" s="35" t="s">
        <v>801</v>
      </c>
      <c r="E25" s="35"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7229-C375-42CF-A320-77F2CA479A3B}">
  <sheetPr>
    <tabColor rgb="FF92D050"/>
  </sheetPr>
  <dimension ref="A2:K14"/>
  <sheetViews>
    <sheetView workbookViewId="0">
      <selection activeCell="D30" sqref="D30"/>
    </sheetView>
  </sheetViews>
  <sheetFormatPr defaultRowHeight="15" x14ac:dyDescent="0.25"/>
  <cols>
    <col min="1" max="1" width="17.85546875" customWidth="1"/>
    <col min="2" max="2" width="19" customWidth="1"/>
    <col min="3" max="3" width="31.28515625" customWidth="1"/>
    <col min="4" max="4" width="28.140625" customWidth="1"/>
    <col min="5" max="6" width="19" style="99" customWidth="1"/>
    <col min="7" max="7" width="27.140625" customWidth="1"/>
    <col min="8" max="8" width="27.140625" style="76" customWidth="1"/>
    <col min="9" max="9" width="17.140625" customWidth="1"/>
    <col min="10" max="10" width="14" customWidth="1"/>
    <col min="11" max="11" width="15.42578125" customWidth="1"/>
  </cols>
  <sheetData>
    <row r="2" spans="1:11" x14ac:dyDescent="0.25">
      <c r="A2" s="37" t="s">
        <v>892</v>
      </c>
      <c r="B2" s="76"/>
      <c r="C2" s="76"/>
      <c r="D2" s="76"/>
      <c r="E2" s="102"/>
      <c r="F2" s="102"/>
      <c r="G2" s="76"/>
      <c r="I2" s="122" t="s">
        <v>911</v>
      </c>
      <c r="J2" s="122"/>
      <c r="K2" s="122"/>
    </row>
    <row r="3" spans="1:11" ht="30.75" thickBot="1" x14ac:dyDescent="0.3">
      <c r="B3" s="108" t="s">
        <v>878</v>
      </c>
      <c r="C3" s="108" t="s">
        <v>853</v>
      </c>
      <c r="D3" s="108" t="s">
        <v>854</v>
      </c>
      <c r="E3" s="108" t="s">
        <v>879</v>
      </c>
      <c r="F3" s="108" t="s">
        <v>880</v>
      </c>
      <c r="G3" s="108" t="s">
        <v>895</v>
      </c>
      <c r="H3" s="108" t="s">
        <v>740</v>
      </c>
      <c r="I3" s="108" t="s">
        <v>844</v>
      </c>
      <c r="J3" s="108" t="s">
        <v>839</v>
      </c>
      <c r="K3" s="108" t="s">
        <v>875</v>
      </c>
    </row>
    <row r="4" spans="1:11" ht="30" x14ac:dyDescent="0.25">
      <c r="B4" s="109" t="s">
        <v>860</v>
      </c>
      <c r="C4" s="110" t="s">
        <v>881</v>
      </c>
      <c r="D4" s="110" t="s">
        <v>882</v>
      </c>
      <c r="E4" s="111" t="s">
        <v>907</v>
      </c>
      <c r="F4" s="111" t="s">
        <v>908</v>
      </c>
      <c r="G4" s="110" t="s">
        <v>896</v>
      </c>
      <c r="H4" s="123" t="s">
        <v>923</v>
      </c>
      <c r="I4" s="110" t="s">
        <v>912</v>
      </c>
      <c r="J4" s="112"/>
      <c r="K4" s="113"/>
    </row>
    <row r="5" spans="1:11" x14ac:dyDescent="0.25">
      <c r="B5" s="114" t="s">
        <v>884</v>
      </c>
      <c r="C5" s="78" t="s">
        <v>909</v>
      </c>
      <c r="D5" s="78" t="s">
        <v>910</v>
      </c>
      <c r="E5" s="100" t="s">
        <v>883</v>
      </c>
      <c r="F5" s="100" t="s">
        <v>883</v>
      </c>
      <c r="G5" s="78" t="s">
        <v>897</v>
      </c>
      <c r="H5" s="124"/>
      <c r="I5" s="76"/>
      <c r="J5" s="76"/>
      <c r="K5" s="115"/>
    </row>
    <row r="6" spans="1:11" s="76" customFormat="1" x14ac:dyDescent="0.25">
      <c r="B6" s="114" t="s">
        <v>891</v>
      </c>
      <c r="C6" s="78" t="s">
        <v>882</v>
      </c>
      <c r="D6" s="78" t="s">
        <v>882</v>
      </c>
      <c r="E6" s="116">
        <v>46229</v>
      </c>
      <c r="F6" s="116">
        <v>46199</v>
      </c>
      <c r="G6" s="78" t="s">
        <v>898</v>
      </c>
      <c r="H6" s="124"/>
      <c r="K6" s="115"/>
    </row>
    <row r="7" spans="1:11" s="76" customFormat="1" ht="15.75" thickBot="1" x14ac:dyDescent="0.3">
      <c r="B7" s="117" t="s">
        <v>901</v>
      </c>
      <c r="C7" s="118" t="s">
        <v>882</v>
      </c>
      <c r="D7" s="118" t="s">
        <v>882</v>
      </c>
      <c r="E7" s="119" t="s">
        <v>883</v>
      </c>
      <c r="F7" s="119" t="s">
        <v>883</v>
      </c>
      <c r="G7" s="118" t="s">
        <v>902</v>
      </c>
      <c r="H7" s="125"/>
      <c r="I7" s="120"/>
      <c r="J7" s="120"/>
      <c r="K7" s="121"/>
    </row>
    <row r="8" spans="1:11" x14ac:dyDescent="0.25">
      <c r="B8" s="33" t="s">
        <v>885</v>
      </c>
      <c r="C8" s="33" t="s">
        <v>882</v>
      </c>
      <c r="D8" s="33" t="s">
        <v>882</v>
      </c>
      <c r="E8" s="98" t="s">
        <v>886</v>
      </c>
      <c r="F8" s="98" t="s">
        <v>887</v>
      </c>
      <c r="G8" s="78" t="s">
        <v>899</v>
      </c>
      <c r="H8" s="124" t="s">
        <v>924</v>
      </c>
    </row>
    <row r="9" spans="1:11" x14ac:dyDescent="0.25">
      <c r="B9" s="33" t="s">
        <v>888</v>
      </c>
      <c r="C9" s="33" t="s">
        <v>882</v>
      </c>
      <c r="D9" s="33" t="s">
        <v>882</v>
      </c>
      <c r="E9" s="98" t="s">
        <v>889</v>
      </c>
      <c r="F9" s="98" t="s">
        <v>890</v>
      </c>
      <c r="G9" s="78" t="s">
        <v>900</v>
      </c>
      <c r="H9" s="124"/>
    </row>
    <row r="10" spans="1:11" s="76" customFormat="1" x14ac:dyDescent="0.25">
      <c r="B10" s="78" t="s">
        <v>903</v>
      </c>
      <c r="C10" s="33" t="s">
        <v>882</v>
      </c>
      <c r="D10" s="33" t="s">
        <v>882</v>
      </c>
      <c r="E10" s="100" t="s">
        <v>905</v>
      </c>
      <c r="F10" s="100" t="s">
        <v>906</v>
      </c>
      <c r="G10" s="78" t="s">
        <v>904</v>
      </c>
      <c r="H10" s="124"/>
    </row>
    <row r="11" spans="1:11" s="76" customFormat="1" x14ac:dyDescent="0.25">
      <c r="B11" s="78"/>
      <c r="C11" s="78"/>
      <c r="D11" s="78"/>
      <c r="E11" s="101"/>
      <c r="F11" s="101"/>
      <c r="G11" s="78"/>
      <c r="H11" s="78"/>
    </row>
    <row r="14" spans="1:11" x14ac:dyDescent="0.25">
      <c r="A14" s="37" t="s">
        <v>893</v>
      </c>
      <c r="B14" s="37" t="s">
        <v>894</v>
      </c>
    </row>
  </sheetData>
  <mergeCells count="3">
    <mergeCell ref="I2:K2"/>
    <mergeCell ref="H4:H7"/>
    <mergeCell ref="H8:H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9815-A57F-42FA-B849-69576114EC01}">
  <sheetPr>
    <tabColor rgb="FF92D050"/>
  </sheetPr>
  <dimension ref="B1:AM84"/>
  <sheetViews>
    <sheetView tabSelected="1" topLeftCell="A55" zoomScale="85" zoomScaleNormal="85" workbookViewId="0">
      <selection activeCell="H84" sqref="H84"/>
    </sheetView>
  </sheetViews>
  <sheetFormatPr defaultRowHeight="15" x14ac:dyDescent="0.25"/>
  <cols>
    <col min="1" max="1" width="2.7109375" customWidth="1"/>
    <col min="2" max="5" width="14.140625" customWidth="1"/>
    <col min="6" max="6" width="15.7109375" bestFit="1" customWidth="1"/>
    <col min="7" max="7" width="15.5703125" customWidth="1"/>
    <col min="8" max="8" width="16.7109375" customWidth="1"/>
    <col min="9" max="9" width="12.85546875" customWidth="1"/>
    <col min="10" max="10" width="14.140625" customWidth="1"/>
    <col min="11" max="11" width="17.5703125" customWidth="1"/>
    <col min="12" max="13" width="14.140625" customWidth="1"/>
    <col min="14" max="14" width="15.42578125" customWidth="1"/>
    <col min="15" max="15" width="15.140625" customWidth="1"/>
    <col min="16" max="16" width="14.140625" customWidth="1"/>
    <col min="17" max="17" width="17.5703125" customWidth="1"/>
    <col min="18" max="18" width="16.85546875" customWidth="1"/>
    <col min="19" max="19" width="16.42578125" customWidth="1"/>
    <col min="20" max="21" width="14.140625" customWidth="1"/>
    <col min="22" max="22" width="17" customWidth="1"/>
    <col min="23" max="23" width="19.7109375" customWidth="1"/>
    <col min="24" max="24" width="14.85546875" customWidth="1"/>
    <col min="25" max="28" width="18.28515625" customWidth="1"/>
    <col min="29" max="29" width="18.28515625" style="132" customWidth="1"/>
    <col min="30" max="31" width="18.28515625" customWidth="1"/>
    <col min="32" max="32" width="18.28515625" style="132" customWidth="1"/>
    <col min="33" max="33" width="18.28515625" customWidth="1"/>
    <col min="34" max="36" width="16.42578125" customWidth="1"/>
    <col min="37" max="37" width="18" customWidth="1"/>
    <col min="38" max="39" width="12" customWidth="1"/>
  </cols>
  <sheetData>
    <row r="1" spans="2:32" x14ac:dyDescent="0.25">
      <c r="B1" s="39" t="s">
        <v>460</v>
      </c>
    </row>
    <row r="2" spans="2:32" s="76" customFormat="1" x14ac:dyDescent="0.25">
      <c r="B2" s="75"/>
    </row>
    <row r="3" spans="2:32" x14ac:dyDescent="0.25">
      <c r="B3" s="77" t="s">
        <v>836</v>
      </c>
    </row>
    <row r="4" spans="2:32" s="42" customFormat="1" ht="30" x14ac:dyDescent="0.25">
      <c r="B4" s="40" t="s">
        <v>64</v>
      </c>
      <c r="C4" s="40" t="s">
        <v>803</v>
      </c>
      <c r="D4" s="40" t="s">
        <v>296</v>
      </c>
      <c r="E4" s="41" t="s">
        <v>7</v>
      </c>
      <c r="F4" s="40" t="s">
        <v>302</v>
      </c>
      <c r="G4" s="40" t="s">
        <v>9</v>
      </c>
      <c r="H4" s="40" t="s">
        <v>13</v>
      </c>
      <c r="I4" s="40" t="s">
        <v>16</v>
      </c>
      <c r="J4" s="40" t="s">
        <v>53</v>
      </c>
      <c r="K4" s="40" t="s">
        <v>51</v>
      </c>
      <c r="L4" s="40" t="s">
        <v>55</v>
      </c>
      <c r="M4" s="40" t="s">
        <v>47</v>
      </c>
      <c r="N4" s="40" t="s">
        <v>307</v>
      </c>
      <c r="O4" s="40" t="s">
        <v>310</v>
      </c>
      <c r="P4" s="40" t="s">
        <v>36</v>
      </c>
      <c r="Q4" s="40" t="s">
        <v>40</v>
      </c>
      <c r="R4" s="41" t="s">
        <v>24</v>
      </c>
      <c r="S4" s="40" t="s">
        <v>20</v>
      </c>
      <c r="T4" s="41" t="s">
        <v>32</v>
      </c>
      <c r="U4" s="41" t="s">
        <v>317</v>
      </c>
      <c r="AC4" s="163"/>
      <c r="AF4" s="163"/>
    </row>
    <row r="5" spans="2:32" x14ac:dyDescent="0.25">
      <c r="B5" s="55">
        <v>46223</v>
      </c>
      <c r="C5" s="56">
        <v>46223.333333333336</v>
      </c>
      <c r="D5" s="52" t="s">
        <v>689</v>
      </c>
      <c r="E5" s="57">
        <v>42153</v>
      </c>
      <c r="F5" s="52" t="s">
        <v>804</v>
      </c>
      <c r="G5" s="52" t="s">
        <v>804</v>
      </c>
      <c r="H5" s="52" t="s">
        <v>805</v>
      </c>
      <c r="I5" s="52" t="s">
        <v>802</v>
      </c>
      <c r="J5" s="52" t="s">
        <v>693</v>
      </c>
      <c r="K5" s="52" t="s">
        <v>806</v>
      </c>
      <c r="L5" s="52" t="s">
        <v>807</v>
      </c>
      <c r="M5" s="52" t="s">
        <v>703</v>
      </c>
      <c r="N5" s="52" t="s">
        <v>808</v>
      </c>
      <c r="O5" s="55">
        <v>46205</v>
      </c>
      <c r="P5" s="55">
        <v>46280</v>
      </c>
      <c r="Q5" s="55">
        <v>46266</v>
      </c>
      <c r="R5" s="58">
        <v>100000</v>
      </c>
      <c r="S5" s="35" t="s">
        <v>246</v>
      </c>
      <c r="T5" s="45">
        <v>1</v>
      </c>
      <c r="U5" s="46">
        <v>100000</v>
      </c>
    </row>
    <row r="6" spans="2:32" x14ac:dyDescent="0.25">
      <c r="B6" s="84">
        <v>46223</v>
      </c>
      <c r="C6" s="85">
        <v>46223.333333333336</v>
      </c>
      <c r="D6" s="86" t="s">
        <v>689</v>
      </c>
      <c r="E6" s="87">
        <v>42168</v>
      </c>
      <c r="F6" s="86" t="s">
        <v>809</v>
      </c>
      <c r="G6" s="86" t="s">
        <v>809</v>
      </c>
      <c r="H6" s="86" t="s">
        <v>810</v>
      </c>
      <c r="I6" s="86" t="s">
        <v>810</v>
      </c>
      <c r="J6" s="86" t="s">
        <v>693</v>
      </c>
      <c r="K6" s="86" t="s">
        <v>811</v>
      </c>
      <c r="L6" s="86" t="s">
        <v>812</v>
      </c>
      <c r="M6" s="86" t="s">
        <v>703</v>
      </c>
      <c r="N6" s="86" t="s">
        <v>813</v>
      </c>
      <c r="O6" s="84">
        <v>46211</v>
      </c>
      <c r="P6" s="84">
        <v>46315</v>
      </c>
      <c r="Q6" s="84">
        <v>46296</v>
      </c>
      <c r="R6" s="88">
        <v>250000</v>
      </c>
      <c r="S6" s="86" t="s">
        <v>246</v>
      </c>
      <c r="T6" s="87">
        <v>1</v>
      </c>
      <c r="U6" s="88">
        <v>250000</v>
      </c>
    </row>
    <row r="7" spans="2:32" x14ac:dyDescent="0.25">
      <c r="B7" s="66">
        <v>46223</v>
      </c>
      <c r="C7" s="67">
        <v>46223.333333333336</v>
      </c>
      <c r="D7" s="63" t="s">
        <v>699</v>
      </c>
      <c r="E7" s="68">
        <v>61245</v>
      </c>
      <c r="F7" s="63" t="s">
        <v>814</v>
      </c>
      <c r="G7" s="63" t="s">
        <v>815</v>
      </c>
      <c r="H7" s="63" t="s">
        <v>816</v>
      </c>
      <c r="I7" s="63" t="s">
        <v>817</v>
      </c>
      <c r="J7" s="63" t="s">
        <v>818</v>
      </c>
      <c r="K7" s="63" t="s">
        <v>819</v>
      </c>
      <c r="L7" s="63" t="s">
        <v>820</v>
      </c>
      <c r="M7" s="63" t="s">
        <v>702</v>
      </c>
      <c r="N7" s="63" t="s">
        <v>821</v>
      </c>
      <c r="O7" s="66">
        <v>46191</v>
      </c>
      <c r="P7" s="66">
        <v>46293</v>
      </c>
      <c r="Q7" s="66">
        <v>46266</v>
      </c>
      <c r="R7" s="69">
        <v>1200000</v>
      </c>
      <c r="S7" s="35" t="s">
        <v>246</v>
      </c>
      <c r="T7" s="45">
        <v>1</v>
      </c>
      <c r="U7" s="46">
        <v>1200000</v>
      </c>
    </row>
    <row r="8" spans="2:32" x14ac:dyDescent="0.25">
      <c r="B8" s="43">
        <v>46223</v>
      </c>
      <c r="C8" s="44">
        <v>46223.333333333336</v>
      </c>
      <c r="D8" s="35" t="s">
        <v>699</v>
      </c>
      <c r="E8" s="45">
        <v>61310</v>
      </c>
      <c r="F8" s="35" t="s">
        <v>822</v>
      </c>
      <c r="G8" s="35" t="s">
        <v>823</v>
      </c>
      <c r="H8" s="35" t="s">
        <v>824</v>
      </c>
      <c r="I8" s="35" t="s">
        <v>824</v>
      </c>
      <c r="J8" s="35" t="s">
        <v>913</v>
      </c>
      <c r="K8" s="35" t="s">
        <v>825</v>
      </c>
      <c r="L8" s="35" t="s">
        <v>826</v>
      </c>
      <c r="M8" s="35" t="s">
        <v>702</v>
      </c>
      <c r="N8" s="35" t="s">
        <v>821</v>
      </c>
      <c r="O8" s="43">
        <v>46208</v>
      </c>
      <c r="P8" s="43">
        <v>46246</v>
      </c>
      <c r="Q8" s="43">
        <v>46235</v>
      </c>
      <c r="R8" s="46">
        <v>420000</v>
      </c>
      <c r="S8" s="35" t="s">
        <v>246</v>
      </c>
      <c r="T8" s="45">
        <v>1</v>
      </c>
      <c r="U8" s="46">
        <v>420000</v>
      </c>
    </row>
    <row r="9" spans="2:32" x14ac:dyDescent="0.25">
      <c r="B9" s="70">
        <v>46223</v>
      </c>
      <c r="C9" s="71">
        <v>46223.333333333336</v>
      </c>
      <c r="D9" s="72" t="s">
        <v>704</v>
      </c>
      <c r="E9" s="73">
        <v>81015</v>
      </c>
      <c r="F9" s="72" t="s">
        <v>827</v>
      </c>
      <c r="G9" s="72" t="s">
        <v>828</v>
      </c>
      <c r="H9" s="72" t="s">
        <v>805</v>
      </c>
      <c r="I9" s="72" t="s">
        <v>802</v>
      </c>
      <c r="J9" s="72" t="s">
        <v>693</v>
      </c>
      <c r="K9" s="72" t="s">
        <v>806</v>
      </c>
      <c r="L9" s="72" t="s">
        <v>829</v>
      </c>
      <c r="M9" s="72" t="s">
        <v>830</v>
      </c>
      <c r="N9" s="72" t="s">
        <v>831</v>
      </c>
      <c r="O9" s="70">
        <v>46143</v>
      </c>
      <c r="P9" s="70">
        <v>46222</v>
      </c>
      <c r="Q9" s="70">
        <v>46204</v>
      </c>
      <c r="R9" s="74">
        <v>95000</v>
      </c>
      <c r="S9" s="35" t="s">
        <v>246</v>
      </c>
      <c r="T9" s="45">
        <v>1</v>
      </c>
      <c r="U9" s="46">
        <v>95000</v>
      </c>
    </row>
    <row r="10" spans="2:32" x14ac:dyDescent="0.25">
      <c r="B10" s="43">
        <v>46223</v>
      </c>
      <c r="C10" s="44">
        <v>46223.333333333336</v>
      </c>
      <c r="D10" s="35" t="s">
        <v>709</v>
      </c>
      <c r="E10" s="45">
        <v>202609001</v>
      </c>
      <c r="F10" s="35" t="s">
        <v>832</v>
      </c>
      <c r="G10" s="35" t="s">
        <v>833</v>
      </c>
      <c r="H10" s="35" t="s">
        <v>805</v>
      </c>
      <c r="I10" s="35" t="s">
        <v>802</v>
      </c>
      <c r="J10" s="35" t="s">
        <v>693</v>
      </c>
      <c r="K10" s="35" t="s">
        <v>806</v>
      </c>
      <c r="L10" s="35" t="s">
        <v>834</v>
      </c>
      <c r="M10" s="47"/>
      <c r="N10" s="35" t="s">
        <v>835</v>
      </c>
      <c r="O10" s="43">
        <v>46006</v>
      </c>
      <c r="P10" s="43">
        <v>46266</v>
      </c>
      <c r="Q10" s="43">
        <v>46266</v>
      </c>
      <c r="R10" s="46">
        <v>500000</v>
      </c>
      <c r="S10" s="35" t="s">
        <v>246</v>
      </c>
      <c r="T10" s="45">
        <v>1</v>
      </c>
      <c r="U10" s="46">
        <v>500000</v>
      </c>
    </row>
    <row r="13" spans="2:32" x14ac:dyDescent="0.25">
      <c r="B13" s="39"/>
    </row>
    <row r="14" spans="2:32" x14ac:dyDescent="0.25">
      <c r="B14" s="77" t="s">
        <v>837</v>
      </c>
    </row>
    <row r="15" spans="2:32" ht="30" x14ac:dyDescent="0.25">
      <c r="B15" s="40" t="s">
        <v>64</v>
      </c>
      <c r="C15" s="40" t="s">
        <v>803</v>
      </c>
      <c r="D15" s="40" t="s">
        <v>296</v>
      </c>
      <c r="E15" s="41" t="s">
        <v>7</v>
      </c>
      <c r="F15" s="40" t="s">
        <v>302</v>
      </c>
      <c r="G15" s="40" t="s">
        <v>9</v>
      </c>
      <c r="H15" s="40" t="s">
        <v>13</v>
      </c>
      <c r="I15" s="40" t="s">
        <v>16</v>
      </c>
      <c r="J15" s="40" t="s">
        <v>53</v>
      </c>
      <c r="K15" s="40" t="s">
        <v>51</v>
      </c>
      <c r="L15" s="40" t="s">
        <v>55</v>
      </c>
      <c r="M15" s="40" t="s">
        <v>47</v>
      </c>
      <c r="N15" s="40" t="s">
        <v>307</v>
      </c>
      <c r="O15" s="40" t="s">
        <v>310</v>
      </c>
      <c r="P15" s="40" t="s">
        <v>36</v>
      </c>
      <c r="Q15" s="40" t="s">
        <v>40</v>
      </c>
      <c r="R15" s="41" t="s">
        <v>24</v>
      </c>
      <c r="S15" s="40" t="s">
        <v>20</v>
      </c>
      <c r="T15" s="41" t="s">
        <v>32</v>
      </c>
      <c r="U15" s="41" t="s">
        <v>317</v>
      </c>
    </row>
    <row r="16" spans="2:32" x14ac:dyDescent="0.25">
      <c r="B16" s="48">
        <v>46226</v>
      </c>
      <c r="C16" s="49"/>
      <c r="D16" s="50" t="s">
        <v>699</v>
      </c>
      <c r="E16" s="51">
        <v>42153</v>
      </c>
      <c r="F16" s="50" t="s">
        <v>804</v>
      </c>
      <c r="G16" s="50" t="s">
        <v>847</v>
      </c>
      <c r="H16" s="52" t="s">
        <v>805</v>
      </c>
      <c r="I16" s="53"/>
      <c r="J16" s="53"/>
      <c r="K16" s="53"/>
      <c r="L16" s="53"/>
      <c r="M16" s="53"/>
      <c r="N16" s="53"/>
      <c r="O16" s="53"/>
      <c r="P16" s="48">
        <v>46296</v>
      </c>
      <c r="Q16" s="53"/>
      <c r="R16" s="54">
        <v>120000</v>
      </c>
      <c r="U16" s="36">
        <v>120000</v>
      </c>
    </row>
    <row r="17" spans="2:21" x14ac:dyDescent="0.25">
      <c r="B17" s="59">
        <v>46226</v>
      </c>
      <c r="C17" s="60"/>
      <c r="D17" s="61" t="s">
        <v>699</v>
      </c>
      <c r="E17" s="62">
        <v>61245</v>
      </c>
      <c r="F17" s="61" t="s">
        <v>814</v>
      </c>
      <c r="G17" s="61" t="s">
        <v>815</v>
      </c>
      <c r="H17" s="63" t="s">
        <v>816</v>
      </c>
      <c r="I17" s="64"/>
      <c r="J17" s="64"/>
      <c r="K17" s="64"/>
      <c r="L17" s="64"/>
      <c r="M17" s="64"/>
      <c r="N17" s="64"/>
      <c r="O17" s="64"/>
      <c r="P17" s="59">
        <v>46296</v>
      </c>
      <c r="Q17" s="64"/>
      <c r="R17" s="65">
        <v>1200000</v>
      </c>
      <c r="U17" s="36">
        <v>1200000</v>
      </c>
    </row>
    <row r="18" spans="2:21" x14ac:dyDescent="0.25">
      <c r="B18" s="91">
        <v>46226</v>
      </c>
      <c r="C18" s="92"/>
      <c r="D18" s="33" t="s">
        <v>704</v>
      </c>
      <c r="E18" s="93">
        <v>81015</v>
      </c>
      <c r="F18" s="33" t="s">
        <v>827</v>
      </c>
      <c r="G18" s="33" t="s">
        <v>828</v>
      </c>
      <c r="H18" s="35" t="s">
        <v>805</v>
      </c>
      <c r="P18" s="91">
        <v>46204</v>
      </c>
      <c r="R18" s="36">
        <v>95000</v>
      </c>
      <c r="U18" s="36">
        <v>95000</v>
      </c>
    </row>
    <row r="19" spans="2:21" x14ac:dyDescent="0.25">
      <c r="B19" s="84">
        <v>46226</v>
      </c>
      <c r="C19" s="85">
        <v>46223.333333333336</v>
      </c>
      <c r="D19" s="86" t="s">
        <v>689</v>
      </c>
      <c r="E19" s="87">
        <v>42168</v>
      </c>
      <c r="F19" s="86" t="s">
        <v>809</v>
      </c>
      <c r="G19" s="86" t="s">
        <v>809</v>
      </c>
      <c r="H19" s="86" t="s">
        <v>810</v>
      </c>
      <c r="I19" s="86" t="s">
        <v>810</v>
      </c>
      <c r="J19" s="86" t="s">
        <v>693</v>
      </c>
      <c r="K19" s="86" t="s">
        <v>811</v>
      </c>
      <c r="L19" s="86" t="s">
        <v>812</v>
      </c>
      <c r="M19" s="86" t="s">
        <v>703</v>
      </c>
      <c r="N19" s="86" t="s">
        <v>813</v>
      </c>
      <c r="O19" s="84">
        <v>46211</v>
      </c>
      <c r="P19" s="84">
        <v>46315</v>
      </c>
      <c r="Q19" s="84">
        <v>46296</v>
      </c>
      <c r="R19" s="88">
        <v>250000</v>
      </c>
      <c r="S19" s="86" t="s">
        <v>246</v>
      </c>
      <c r="T19" s="87">
        <v>1</v>
      </c>
      <c r="U19" s="88">
        <v>250000</v>
      </c>
    </row>
    <row r="22" spans="2:21" hidden="1" x14ac:dyDescent="0.25">
      <c r="B22" s="77" t="s">
        <v>838</v>
      </c>
    </row>
    <row r="23" spans="2:21" hidden="1" x14ac:dyDescent="0.25">
      <c r="B23" s="39" t="s">
        <v>922</v>
      </c>
      <c r="F23" s="76"/>
      <c r="G23" s="37" t="s">
        <v>917</v>
      </c>
      <c r="H23" s="37" t="s">
        <v>918</v>
      </c>
    </row>
    <row r="24" spans="2:21" ht="45" hidden="1" x14ac:dyDescent="0.25">
      <c r="B24" s="40" t="s">
        <v>302</v>
      </c>
      <c r="C24" s="40" t="s">
        <v>841</v>
      </c>
      <c r="D24" s="40" t="s">
        <v>842</v>
      </c>
      <c r="E24" s="40" t="s">
        <v>843</v>
      </c>
      <c r="F24" s="40" t="s">
        <v>916</v>
      </c>
      <c r="G24" s="103" t="s">
        <v>914</v>
      </c>
      <c r="H24" s="103" t="s">
        <v>915</v>
      </c>
      <c r="I24" s="79" t="s">
        <v>844</v>
      </c>
      <c r="J24" s="40" t="s">
        <v>857</v>
      </c>
      <c r="K24" s="40" t="s">
        <v>845</v>
      </c>
      <c r="L24" s="40" t="s">
        <v>858</v>
      </c>
      <c r="M24" s="40" t="s">
        <v>328</v>
      </c>
      <c r="N24" s="79" t="s">
        <v>405</v>
      </c>
      <c r="O24" s="41" t="s">
        <v>324</v>
      </c>
      <c r="P24" s="41" t="s">
        <v>326</v>
      </c>
      <c r="Q24" s="81" t="s">
        <v>839</v>
      </c>
      <c r="R24" s="79" t="s">
        <v>429</v>
      </c>
    </row>
    <row r="25" spans="2:21" hidden="1" x14ac:dyDescent="0.25">
      <c r="B25" s="52" t="s">
        <v>804</v>
      </c>
      <c r="C25" s="52" t="s">
        <v>689</v>
      </c>
      <c r="D25" s="52" t="s">
        <v>689</v>
      </c>
      <c r="E25" s="52" t="s">
        <v>699</v>
      </c>
      <c r="F25" s="82" t="s">
        <v>860</v>
      </c>
      <c r="G25" s="106">
        <v>46225</v>
      </c>
      <c r="H25" s="106">
        <v>46226</v>
      </c>
      <c r="I25" s="52" t="s">
        <v>846</v>
      </c>
      <c r="J25" s="52" t="s">
        <v>804</v>
      </c>
      <c r="K25" s="52" t="s">
        <v>847</v>
      </c>
      <c r="L25" s="55">
        <v>46266</v>
      </c>
      <c r="M25" s="55">
        <v>46296</v>
      </c>
      <c r="N25" s="80" t="s">
        <v>840</v>
      </c>
      <c r="O25" s="58">
        <v>100000</v>
      </c>
      <c r="P25" s="58">
        <v>120000</v>
      </c>
      <c r="Q25" s="58">
        <v>20000</v>
      </c>
      <c r="R25" s="52" t="s">
        <v>848</v>
      </c>
    </row>
    <row r="26" spans="2:21" hidden="1" x14ac:dyDescent="0.25">
      <c r="B26" s="86" t="s">
        <v>809</v>
      </c>
      <c r="C26" s="86" t="s">
        <v>689</v>
      </c>
      <c r="D26" s="86" t="s">
        <v>689</v>
      </c>
      <c r="E26" s="86" t="s">
        <v>689</v>
      </c>
      <c r="F26" s="104" t="s">
        <v>860</v>
      </c>
      <c r="G26" s="106">
        <v>46225</v>
      </c>
      <c r="H26" s="106">
        <v>46226</v>
      </c>
      <c r="I26" s="86" t="s">
        <v>849</v>
      </c>
      <c r="J26" s="86" t="s">
        <v>809</v>
      </c>
      <c r="K26" s="86" t="s">
        <v>809</v>
      </c>
      <c r="L26" s="84">
        <v>46296</v>
      </c>
      <c r="M26" s="84">
        <v>46296</v>
      </c>
      <c r="N26" s="89" t="s">
        <v>851</v>
      </c>
      <c r="O26" s="88">
        <v>250000</v>
      </c>
      <c r="P26" s="88">
        <v>250000</v>
      </c>
      <c r="Q26" s="87">
        <v>0</v>
      </c>
      <c r="R26" s="86" t="s">
        <v>850</v>
      </c>
    </row>
    <row r="27" spans="2:21" hidden="1" x14ac:dyDescent="0.25">
      <c r="B27" s="63" t="s">
        <v>814</v>
      </c>
      <c r="C27" s="63" t="s">
        <v>699</v>
      </c>
      <c r="D27" s="63" t="s">
        <v>699</v>
      </c>
      <c r="E27" s="63" t="s">
        <v>699</v>
      </c>
      <c r="F27" s="105" t="s">
        <v>860</v>
      </c>
      <c r="G27" s="106">
        <v>46225</v>
      </c>
      <c r="H27" s="106">
        <v>46226</v>
      </c>
      <c r="I27" s="63" t="s">
        <v>849</v>
      </c>
      <c r="J27" s="63" t="s">
        <v>815</v>
      </c>
      <c r="K27" s="63" t="s">
        <v>815</v>
      </c>
      <c r="L27" s="66">
        <v>46266</v>
      </c>
      <c r="M27" s="66">
        <v>46296</v>
      </c>
      <c r="N27" s="90" t="s">
        <v>840</v>
      </c>
      <c r="O27" s="69">
        <v>1200000</v>
      </c>
      <c r="P27" s="69">
        <v>1200000</v>
      </c>
      <c r="Q27" s="68">
        <v>0</v>
      </c>
      <c r="R27" s="63" t="s">
        <v>850</v>
      </c>
    </row>
    <row r="28" spans="2:21" hidden="1" x14ac:dyDescent="0.25">
      <c r="F28" s="76"/>
    </row>
    <row r="29" spans="2:21" hidden="1" x14ac:dyDescent="0.25">
      <c r="F29" s="76"/>
    </row>
    <row r="30" spans="2:21" hidden="1" x14ac:dyDescent="0.25">
      <c r="B30" s="39" t="s">
        <v>921</v>
      </c>
      <c r="F30" s="76"/>
    </row>
    <row r="31" spans="2:21" hidden="1" x14ac:dyDescent="0.25">
      <c r="B31" s="94"/>
      <c r="D31" s="106">
        <v>46216</v>
      </c>
      <c r="E31" s="106">
        <v>46222</v>
      </c>
      <c r="F31" s="76"/>
      <c r="L31" s="106">
        <v>46216</v>
      </c>
      <c r="M31" s="106">
        <v>46222</v>
      </c>
      <c r="O31" s="106">
        <v>46216</v>
      </c>
      <c r="P31" s="106">
        <v>46222</v>
      </c>
    </row>
    <row r="32" spans="2:21" ht="45" hidden="1" x14ac:dyDescent="0.25">
      <c r="B32" s="40" t="s">
        <v>302</v>
      </c>
      <c r="C32" s="40" t="s">
        <v>841</v>
      </c>
      <c r="D32" s="40" t="s">
        <v>842</v>
      </c>
      <c r="E32" s="40" t="s">
        <v>843</v>
      </c>
      <c r="F32" s="40" t="s">
        <v>916</v>
      </c>
      <c r="G32" s="103" t="s">
        <v>914</v>
      </c>
      <c r="H32" s="103" t="s">
        <v>915</v>
      </c>
      <c r="I32" s="79" t="s">
        <v>844</v>
      </c>
      <c r="J32" s="40" t="s">
        <v>857</v>
      </c>
      <c r="K32" s="40" t="s">
        <v>845</v>
      </c>
      <c r="L32" s="40" t="s">
        <v>858</v>
      </c>
      <c r="M32" s="40" t="s">
        <v>328</v>
      </c>
      <c r="N32" s="79" t="s">
        <v>405</v>
      </c>
      <c r="O32" s="41" t="s">
        <v>324</v>
      </c>
      <c r="P32" s="41" t="s">
        <v>326</v>
      </c>
      <c r="Q32" s="81" t="s">
        <v>839</v>
      </c>
      <c r="R32" s="79" t="s">
        <v>429</v>
      </c>
    </row>
    <row r="33" spans="2:34" hidden="1" x14ac:dyDescent="0.25">
      <c r="B33" s="52" t="s">
        <v>804</v>
      </c>
      <c r="C33" s="52" t="s">
        <v>689</v>
      </c>
      <c r="D33" s="52" t="s">
        <v>689</v>
      </c>
      <c r="E33" s="52" t="s">
        <v>699</v>
      </c>
      <c r="F33" s="82" t="s">
        <v>884</v>
      </c>
      <c r="G33" s="107" t="s">
        <v>920</v>
      </c>
      <c r="H33" s="107" t="s">
        <v>919</v>
      </c>
      <c r="I33" s="52" t="s">
        <v>846</v>
      </c>
      <c r="J33" s="52" t="s">
        <v>804</v>
      </c>
      <c r="K33" s="52" t="s">
        <v>847</v>
      </c>
      <c r="L33" s="55">
        <v>46266</v>
      </c>
      <c r="M33" s="55">
        <v>46296</v>
      </c>
      <c r="N33" s="80" t="s">
        <v>840</v>
      </c>
      <c r="O33" s="58">
        <v>100000</v>
      </c>
      <c r="P33" s="58">
        <v>120000</v>
      </c>
      <c r="Q33" s="58">
        <v>20000</v>
      </c>
      <c r="R33" s="52" t="s">
        <v>848</v>
      </c>
    </row>
    <row r="34" spans="2:34" hidden="1" x14ac:dyDescent="0.25">
      <c r="B34" s="86" t="s">
        <v>809</v>
      </c>
      <c r="C34" s="86" t="s">
        <v>689</v>
      </c>
      <c r="D34" s="86" t="s">
        <v>689</v>
      </c>
      <c r="E34" s="86" t="s">
        <v>689</v>
      </c>
      <c r="F34" s="104" t="s">
        <v>884</v>
      </c>
      <c r="G34" s="107" t="s">
        <v>920</v>
      </c>
      <c r="H34" s="107" t="s">
        <v>919</v>
      </c>
      <c r="I34" s="86" t="s">
        <v>849</v>
      </c>
      <c r="J34" s="86" t="s">
        <v>809</v>
      </c>
      <c r="K34" s="86" t="s">
        <v>809</v>
      </c>
      <c r="L34" s="84">
        <v>46296</v>
      </c>
      <c r="M34" s="84">
        <v>46296</v>
      </c>
      <c r="N34" s="89" t="s">
        <v>851</v>
      </c>
      <c r="O34" s="88">
        <v>250000</v>
      </c>
      <c r="P34" s="88">
        <v>250000</v>
      </c>
      <c r="Q34" s="87">
        <v>0</v>
      </c>
      <c r="R34" s="86" t="s">
        <v>850</v>
      </c>
    </row>
    <row r="35" spans="2:34" hidden="1" x14ac:dyDescent="0.25">
      <c r="B35" s="63" t="s">
        <v>814</v>
      </c>
      <c r="C35" s="63" t="s">
        <v>699</v>
      </c>
      <c r="D35" s="63" t="s">
        <v>699</v>
      </c>
      <c r="E35" s="63" t="s">
        <v>699</v>
      </c>
      <c r="F35" s="105" t="s">
        <v>884</v>
      </c>
      <c r="G35" s="107" t="s">
        <v>920</v>
      </c>
      <c r="H35" s="107" t="s">
        <v>919</v>
      </c>
      <c r="I35" s="63" t="s">
        <v>849</v>
      </c>
      <c r="J35" s="63" t="s">
        <v>815</v>
      </c>
      <c r="K35" s="63" t="s">
        <v>815</v>
      </c>
      <c r="L35" s="66">
        <v>46266</v>
      </c>
      <c r="M35" s="66">
        <v>46296</v>
      </c>
      <c r="N35" s="90" t="s">
        <v>840</v>
      </c>
      <c r="O35" s="69">
        <v>1200000</v>
      </c>
      <c r="P35" s="69">
        <v>1200000</v>
      </c>
      <c r="Q35" s="68">
        <v>0</v>
      </c>
      <c r="R35" s="63" t="s">
        <v>850</v>
      </c>
    </row>
    <row r="38" spans="2:34" s="132" customFormat="1" x14ac:dyDescent="0.25">
      <c r="B38" s="134" t="s">
        <v>927</v>
      </c>
    </row>
    <row r="39" spans="2:34" s="132" customFormat="1" x14ac:dyDescent="0.25"/>
    <row r="40" spans="2:34" x14ac:dyDescent="0.25">
      <c r="B40" s="130" t="s">
        <v>928</v>
      </c>
    </row>
    <row r="42" spans="2:34" ht="30" x14ac:dyDescent="0.25">
      <c r="B42" s="40" t="s">
        <v>64</v>
      </c>
      <c r="C42" s="40" t="s">
        <v>803</v>
      </c>
      <c r="D42" s="40" t="s">
        <v>296</v>
      </c>
      <c r="E42" s="41" t="s">
        <v>7</v>
      </c>
      <c r="F42" s="40" t="s">
        <v>302</v>
      </c>
      <c r="G42" s="40" t="s">
        <v>9</v>
      </c>
      <c r="H42" s="40" t="s">
        <v>13</v>
      </c>
      <c r="I42" s="40" t="s">
        <v>16</v>
      </c>
      <c r="J42" s="40" t="s">
        <v>53</v>
      </c>
      <c r="K42" s="40" t="s">
        <v>51</v>
      </c>
      <c r="L42" s="40" t="s">
        <v>55</v>
      </c>
      <c r="M42" s="40" t="s">
        <v>47</v>
      </c>
      <c r="N42" s="40" t="s">
        <v>307</v>
      </c>
      <c r="O42" s="40" t="s">
        <v>310</v>
      </c>
      <c r="P42" s="40" t="s">
        <v>36</v>
      </c>
      <c r="Q42" s="40" t="s">
        <v>40</v>
      </c>
      <c r="R42" s="41" t="s">
        <v>24</v>
      </c>
      <c r="S42" s="40" t="s">
        <v>20</v>
      </c>
      <c r="T42" s="41" t="s">
        <v>32</v>
      </c>
      <c r="U42" s="41" t="s">
        <v>317</v>
      </c>
      <c r="AE42" s="130"/>
    </row>
    <row r="43" spans="2:34" x14ac:dyDescent="0.25">
      <c r="B43" s="137">
        <v>46223</v>
      </c>
      <c r="C43" s="138">
        <v>46223.333333333336</v>
      </c>
      <c r="D43" s="136" t="s">
        <v>699</v>
      </c>
      <c r="E43" s="139">
        <v>61245</v>
      </c>
      <c r="F43" s="136" t="s">
        <v>814</v>
      </c>
      <c r="G43" s="136" t="s">
        <v>815</v>
      </c>
      <c r="H43" s="136" t="s">
        <v>816</v>
      </c>
      <c r="I43" s="136" t="s">
        <v>817</v>
      </c>
      <c r="J43" s="136" t="s">
        <v>818</v>
      </c>
      <c r="K43" s="136" t="s">
        <v>819</v>
      </c>
      <c r="L43" s="136" t="s">
        <v>820</v>
      </c>
      <c r="M43" s="136" t="s">
        <v>702</v>
      </c>
      <c r="N43" s="136" t="s">
        <v>821</v>
      </c>
      <c r="O43" s="137">
        <v>46191</v>
      </c>
      <c r="P43" s="137">
        <v>46293</v>
      </c>
      <c r="Q43" s="137">
        <v>46266</v>
      </c>
      <c r="R43" s="140">
        <v>1200000</v>
      </c>
      <c r="S43" s="35" t="s">
        <v>246</v>
      </c>
      <c r="T43" s="45">
        <v>1</v>
      </c>
      <c r="U43" s="46">
        <v>1200000</v>
      </c>
      <c r="AE43" s="130"/>
      <c r="AF43" s="133"/>
      <c r="AG43" s="130"/>
    </row>
    <row r="44" spans="2:34" x14ac:dyDescent="0.25">
      <c r="B44" s="141"/>
      <c r="C44" s="141"/>
      <c r="D44" s="141"/>
      <c r="E44" s="141"/>
      <c r="F44" s="141"/>
      <c r="G44" s="141"/>
      <c r="H44" s="141"/>
      <c r="I44" s="141"/>
      <c r="J44" s="141"/>
      <c r="K44" s="141"/>
      <c r="L44" s="141"/>
      <c r="M44" s="141"/>
      <c r="N44" s="141"/>
      <c r="O44" s="141"/>
      <c r="P44" s="141"/>
      <c r="Q44" s="141"/>
      <c r="R44" s="141"/>
      <c r="AE44" s="130"/>
      <c r="AF44" s="133"/>
      <c r="AG44" s="130"/>
      <c r="AH44" s="135"/>
    </row>
    <row r="45" spans="2:34" x14ac:dyDescent="0.25">
      <c r="B45" s="141"/>
      <c r="C45" s="141"/>
      <c r="D45" s="141"/>
      <c r="E45" s="141"/>
      <c r="F45" s="141"/>
      <c r="G45" s="141"/>
      <c r="H45" s="141"/>
      <c r="I45" s="141"/>
      <c r="J45" s="141"/>
      <c r="K45" s="141"/>
      <c r="L45" s="141"/>
      <c r="M45" s="141"/>
      <c r="N45" s="141"/>
      <c r="O45" s="141"/>
      <c r="P45" s="141"/>
      <c r="Q45" s="141"/>
      <c r="R45" s="141"/>
      <c r="AE45" s="165"/>
      <c r="AF45" s="166"/>
      <c r="AG45" s="166"/>
      <c r="AH45" s="130"/>
    </row>
    <row r="46" spans="2:34" x14ac:dyDescent="0.25">
      <c r="B46" s="142" t="s">
        <v>929</v>
      </c>
      <c r="C46" s="141"/>
      <c r="D46" s="141"/>
      <c r="E46" s="141"/>
      <c r="F46" s="141"/>
      <c r="G46" s="141"/>
      <c r="H46" s="141"/>
      <c r="I46" s="141"/>
      <c r="J46" s="141"/>
      <c r="K46" s="141"/>
      <c r="L46" s="141"/>
      <c r="M46" s="141"/>
      <c r="N46" s="141"/>
      <c r="O46" s="141"/>
      <c r="P46" s="141"/>
      <c r="Q46" s="141"/>
      <c r="R46" s="141"/>
      <c r="AE46" s="167"/>
      <c r="AF46" s="165"/>
      <c r="AG46" s="167"/>
      <c r="AH46" s="130"/>
    </row>
    <row r="47" spans="2:34" s="132" customFormat="1" ht="30" x14ac:dyDescent="0.25">
      <c r="B47" s="40" t="s">
        <v>64</v>
      </c>
      <c r="C47" s="40" t="s">
        <v>803</v>
      </c>
      <c r="D47" s="40" t="s">
        <v>296</v>
      </c>
      <c r="E47" s="41" t="s">
        <v>7</v>
      </c>
      <c r="F47" s="40" t="s">
        <v>302</v>
      </c>
      <c r="G47" s="40" t="s">
        <v>9</v>
      </c>
      <c r="H47" s="40" t="s">
        <v>13</v>
      </c>
      <c r="I47" s="40" t="s">
        <v>16</v>
      </c>
      <c r="J47" s="40" t="s">
        <v>53</v>
      </c>
      <c r="K47" s="40" t="s">
        <v>51</v>
      </c>
      <c r="L47" s="40" t="s">
        <v>55</v>
      </c>
      <c r="M47" s="40" t="s">
        <v>47</v>
      </c>
      <c r="N47" s="40" t="s">
        <v>307</v>
      </c>
      <c r="O47" s="40" t="s">
        <v>310</v>
      </c>
      <c r="P47" s="40" t="s">
        <v>36</v>
      </c>
      <c r="Q47" s="40" t="s">
        <v>40</v>
      </c>
      <c r="R47" s="41" t="s">
        <v>24</v>
      </c>
      <c r="S47" s="40" t="s">
        <v>20</v>
      </c>
      <c r="T47" s="41" t="s">
        <v>32</v>
      </c>
      <c r="U47" s="41" t="s">
        <v>317</v>
      </c>
      <c r="AE47" s="167"/>
      <c r="AF47" s="167"/>
      <c r="AG47" s="165"/>
      <c r="AH47" s="133"/>
    </row>
    <row r="48" spans="2:34" x14ac:dyDescent="0.25">
      <c r="B48" s="137">
        <v>46224</v>
      </c>
      <c r="C48" s="137">
        <v>46224</v>
      </c>
      <c r="D48" s="136" t="s">
        <v>699</v>
      </c>
      <c r="E48" s="139">
        <v>61245</v>
      </c>
      <c r="F48" s="136" t="s">
        <v>814</v>
      </c>
      <c r="G48" s="136" t="s">
        <v>815</v>
      </c>
      <c r="H48" s="136" t="s">
        <v>816</v>
      </c>
      <c r="I48" s="136" t="s">
        <v>817</v>
      </c>
      <c r="J48" s="136" t="s">
        <v>818</v>
      </c>
      <c r="K48" s="136" t="s">
        <v>819</v>
      </c>
      <c r="L48" s="136" t="s">
        <v>820</v>
      </c>
      <c r="M48" s="136" t="s">
        <v>702</v>
      </c>
      <c r="N48" s="136" t="s">
        <v>821</v>
      </c>
      <c r="O48" s="137">
        <v>46191</v>
      </c>
      <c r="P48" s="137">
        <v>46293</v>
      </c>
      <c r="Q48" s="137">
        <v>46266</v>
      </c>
      <c r="R48" s="140">
        <v>800000</v>
      </c>
      <c r="S48" s="35" t="s">
        <v>246</v>
      </c>
      <c r="T48" s="45">
        <v>1</v>
      </c>
      <c r="U48" s="46">
        <v>1200000</v>
      </c>
      <c r="AE48" s="130"/>
    </row>
    <row r="49" spans="2:39" x14ac:dyDescent="0.25">
      <c r="B49" s="137">
        <v>46224</v>
      </c>
      <c r="C49" s="137">
        <v>46224</v>
      </c>
      <c r="D49" s="142" t="s">
        <v>85</v>
      </c>
      <c r="E49" s="141"/>
      <c r="F49" s="136" t="s">
        <v>814</v>
      </c>
      <c r="G49" s="142" t="s">
        <v>925</v>
      </c>
      <c r="H49" s="136" t="s">
        <v>816</v>
      </c>
      <c r="I49" s="136" t="s">
        <v>817</v>
      </c>
      <c r="J49" s="136" t="s">
        <v>818</v>
      </c>
      <c r="K49" s="136" t="s">
        <v>819</v>
      </c>
      <c r="L49" s="136" t="s">
        <v>820</v>
      </c>
      <c r="M49" s="143" t="s">
        <v>926</v>
      </c>
      <c r="N49" s="141"/>
      <c r="O49" s="144">
        <v>46224</v>
      </c>
      <c r="P49" s="144">
        <v>46224</v>
      </c>
      <c r="Q49" s="144">
        <v>46204</v>
      </c>
      <c r="R49" s="145">
        <f>+R43-R48</f>
        <v>400000</v>
      </c>
      <c r="S49" s="35" t="s">
        <v>246</v>
      </c>
      <c r="T49" s="45">
        <v>1</v>
      </c>
      <c r="U49" s="131">
        <v>400000</v>
      </c>
      <c r="AE49" s="135"/>
    </row>
    <row r="52" spans="2:39" ht="18.75" x14ac:dyDescent="0.3">
      <c r="B52" s="164" t="s">
        <v>962</v>
      </c>
      <c r="C52" s="130"/>
      <c r="D52" s="130" t="s">
        <v>956</v>
      </c>
    </row>
    <row r="53" spans="2:39" x14ac:dyDescent="0.25">
      <c r="C53" s="132"/>
      <c r="F53" s="151">
        <v>46223</v>
      </c>
      <c r="G53" s="151">
        <v>46224</v>
      </c>
      <c r="H53" s="153" t="s">
        <v>443</v>
      </c>
      <c r="I53" s="153"/>
      <c r="J53" s="153"/>
      <c r="K53" s="153"/>
      <c r="L53" s="151">
        <v>46223</v>
      </c>
      <c r="M53" s="151">
        <v>46224</v>
      </c>
      <c r="N53" s="153" t="s">
        <v>443</v>
      </c>
      <c r="O53" s="153" t="s">
        <v>443</v>
      </c>
      <c r="P53" s="153"/>
      <c r="Q53" s="153"/>
      <c r="R53" s="153"/>
      <c r="S53" s="151">
        <v>46223</v>
      </c>
      <c r="T53" s="151">
        <v>46224</v>
      </c>
      <c r="U53" s="153" t="s">
        <v>443</v>
      </c>
      <c r="V53" s="153" t="s">
        <v>443</v>
      </c>
      <c r="W53" s="153"/>
      <c r="X53" s="153"/>
      <c r="Y53" s="153"/>
      <c r="Z53" s="151">
        <v>46223</v>
      </c>
      <c r="AA53" s="151">
        <v>46224</v>
      </c>
      <c r="AB53" s="130" t="s">
        <v>443</v>
      </c>
      <c r="AC53" s="133"/>
      <c r="AD53" s="132"/>
      <c r="AG53" s="130" t="s">
        <v>943</v>
      </c>
    </row>
    <row r="54" spans="2:39" ht="45" x14ac:dyDescent="0.25">
      <c r="B54" s="40" t="s">
        <v>302</v>
      </c>
      <c r="C54" s="40" t="s">
        <v>916</v>
      </c>
      <c r="D54" s="103" t="s">
        <v>914</v>
      </c>
      <c r="E54" s="103" t="s">
        <v>915</v>
      </c>
      <c r="F54" s="156" t="s">
        <v>930</v>
      </c>
      <c r="G54" s="156" t="s">
        <v>931</v>
      </c>
      <c r="H54" s="156" t="s">
        <v>935</v>
      </c>
      <c r="I54" s="156" t="s">
        <v>947</v>
      </c>
      <c r="J54" s="156" t="s">
        <v>948</v>
      </c>
      <c r="K54" s="156" t="s">
        <v>949</v>
      </c>
      <c r="L54" s="157" t="s">
        <v>945</v>
      </c>
      <c r="M54" s="157" t="s">
        <v>946</v>
      </c>
      <c r="N54" s="157" t="s">
        <v>936</v>
      </c>
      <c r="O54" s="157" t="s">
        <v>957</v>
      </c>
      <c r="P54" s="157" t="s">
        <v>950</v>
      </c>
      <c r="Q54" s="157" t="s">
        <v>951</v>
      </c>
      <c r="R54" s="157" t="s">
        <v>952</v>
      </c>
      <c r="S54" s="158" t="s">
        <v>932</v>
      </c>
      <c r="T54" s="158" t="s">
        <v>933</v>
      </c>
      <c r="U54" s="158" t="s">
        <v>937</v>
      </c>
      <c r="V54" s="158" t="s">
        <v>958</v>
      </c>
      <c r="W54" s="158" t="s">
        <v>954</v>
      </c>
      <c r="X54" s="158" t="s">
        <v>953</v>
      </c>
      <c r="Y54" s="158" t="s">
        <v>966</v>
      </c>
      <c r="Z54" s="159" t="s">
        <v>939</v>
      </c>
      <c r="AA54" s="159" t="s">
        <v>938</v>
      </c>
      <c r="AB54" s="159" t="s">
        <v>941</v>
      </c>
      <c r="AC54" s="159" t="s">
        <v>960</v>
      </c>
      <c r="AD54" s="40" t="s">
        <v>940</v>
      </c>
      <c r="AE54" s="159" t="s">
        <v>429</v>
      </c>
      <c r="AF54" s="159" t="s">
        <v>963</v>
      </c>
      <c r="AG54" s="155" t="s">
        <v>968</v>
      </c>
      <c r="AH54" s="155" t="s">
        <v>17</v>
      </c>
      <c r="AI54" s="155" t="s">
        <v>55</v>
      </c>
      <c r="AJ54" s="155" t="s">
        <v>944</v>
      </c>
      <c r="AK54" s="155" t="s">
        <v>53</v>
      </c>
      <c r="AL54" s="155" t="s">
        <v>955</v>
      </c>
      <c r="AM54" s="155" t="s">
        <v>20</v>
      </c>
    </row>
    <row r="55" spans="2:39" ht="210" x14ac:dyDescent="0.25">
      <c r="B55" s="146" t="s">
        <v>814</v>
      </c>
      <c r="C55" s="149" t="s">
        <v>860</v>
      </c>
      <c r="D55" s="150">
        <v>46223</v>
      </c>
      <c r="E55" s="150">
        <v>46224</v>
      </c>
      <c r="F55" s="147">
        <v>0</v>
      </c>
      <c r="G55" s="147">
        <v>0</v>
      </c>
      <c r="H55" s="152">
        <f>+G55-F55</f>
        <v>0</v>
      </c>
      <c r="I55" s="160">
        <v>46198</v>
      </c>
      <c r="J55" s="160">
        <v>46203</v>
      </c>
      <c r="K55" s="161" t="s">
        <v>965</v>
      </c>
      <c r="L55" s="148">
        <v>1200000</v>
      </c>
      <c r="M55" s="148">
        <v>800000</v>
      </c>
      <c r="N55" s="154">
        <f>+M55-L55</f>
        <v>-400000</v>
      </c>
      <c r="O55" s="154" t="s">
        <v>959</v>
      </c>
      <c r="P55" s="137">
        <v>46293</v>
      </c>
      <c r="Q55" s="137">
        <v>46293</v>
      </c>
      <c r="R55" s="161" t="s">
        <v>964</v>
      </c>
      <c r="S55" s="147">
        <v>0</v>
      </c>
      <c r="T55" s="148">
        <v>400000</v>
      </c>
      <c r="U55" s="154">
        <f>+T55-S55</f>
        <v>400000</v>
      </c>
      <c r="V55" s="154" t="s">
        <v>959</v>
      </c>
      <c r="W55" s="162" t="s">
        <v>48</v>
      </c>
      <c r="X55" s="160">
        <v>46224</v>
      </c>
      <c r="Y55" s="161" t="s">
        <v>967</v>
      </c>
      <c r="Z55" s="148">
        <f>+S55+L55</f>
        <v>1200000</v>
      </c>
      <c r="AA55" s="148">
        <v>1200000</v>
      </c>
      <c r="AB55" s="154">
        <f>+AA55-Z55</f>
        <v>0</v>
      </c>
      <c r="AC55" s="162" t="s">
        <v>961</v>
      </c>
      <c r="AD55" s="154" t="s">
        <v>942</v>
      </c>
      <c r="AE55" s="146" t="s">
        <v>934</v>
      </c>
      <c r="AF55" s="149"/>
    </row>
    <row r="60" spans="2:39" x14ac:dyDescent="0.25">
      <c r="B60" s="130" t="s">
        <v>969</v>
      </c>
      <c r="C60" s="132"/>
    </row>
    <row r="61" spans="2:39" x14ac:dyDescent="0.25">
      <c r="B61" s="130"/>
      <c r="C61" s="133"/>
      <c r="D61" s="130"/>
    </row>
    <row r="62" spans="2:39" x14ac:dyDescent="0.25">
      <c r="B62" s="130" t="s">
        <v>970</v>
      </c>
      <c r="C62" s="133" t="s">
        <v>984</v>
      </c>
      <c r="D62" s="133" t="s">
        <v>971</v>
      </c>
      <c r="E62" s="130" t="s">
        <v>79</v>
      </c>
      <c r="F62" s="130" t="s">
        <v>972</v>
      </c>
      <c r="G62" s="135" t="s">
        <v>973</v>
      </c>
    </row>
    <row r="63" spans="2:39" x14ac:dyDescent="0.25">
      <c r="B63" s="165" t="s">
        <v>975</v>
      </c>
      <c r="C63" s="165" t="s">
        <v>975</v>
      </c>
      <c r="D63" s="166" t="s">
        <v>974</v>
      </c>
      <c r="E63" s="166" t="s">
        <v>974</v>
      </c>
      <c r="F63" s="166" t="s">
        <v>974</v>
      </c>
      <c r="G63" s="169" t="s">
        <v>976</v>
      </c>
    </row>
    <row r="64" spans="2:39" x14ac:dyDescent="0.25">
      <c r="B64" s="167" t="s">
        <v>974</v>
      </c>
      <c r="C64" s="167" t="s">
        <v>974</v>
      </c>
      <c r="D64" s="165" t="s">
        <v>975</v>
      </c>
      <c r="E64" s="165" t="s">
        <v>975</v>
      </c>
      <c r="F64" s="167" t="s">
        <v>974</v>
      </c>
      <c r="G64" s="169" t="s">
        <v>986</v>
      </c>
    </row>
    <row r="65" spans="2:37" x14ac:dyDescent="0.25">
      <c r="B65" s="167" t="s">
        <v>974</v>
      </c>
      <c r="C65" s="167" t="s">
        <v>974</v>
      </c>
      <c r="D65" s="167" t="s">
        <v>974</v>
      </c>
      <c r="E65" s="167" t="s">
        <v>974</v>
      </c>
      <c r="F65" s="165" t="s">
        <v>975</v>
      </c>
      <c r="G65" s="170" t="s">
        <v>987</v>
      </c>
      <c r="AK65" s="132"/>
    </row>
    <row r="66" spans="2:37" x14ac:dyDescent="0.25">
      <c r="C66" s="132"/>
    </row>
    <row r="67" spans="2:37" x14ac:dyDescent="0.25">
      <c r="B67" s="167" t="s">
        <v>974</v>
      </c>
      <c r="C67" s="165" t="s">
        <v>975</v>
      </c>
      <c r="D67" s="167" t="s">
        <v>974</v>
      </c>
      <c r="E67" s="167" t="s">
        <v>974</v>
      </c>
      <c r="F67" s="167" t="s">
        <v>974</v>
      </c>
      <c r="G67" s="169" t="s">
        <v>985</v>
      </c>
    </row>
    <row r="68" spans="2:37" x14ac:dyDescent="0.25">
      <c r="B68" s="165" t="s">
        <v>975</v>
      </c>
      <c r="C68" s="165" t="s">
        <v>975</v>
      </c>
      <c r="D68" s="167" t="s">
        <v>974</v>
      </c>
      <c r="E68" s="167" t="s">
        <v>974</v>
      </c>
      <c r="F68" s="167" t="s">
        <v>974</v>
      </c>
      <c r="G68" s="170" t="s">
        <v>988</v>
      </c>
    </row>
    <row r="69" spans="2:37" x14ac:dyDescent="0.25">
      <c r="B69" s="168" t="s">
        <v>977</v>
      </c>
      <c r="C69" s="165" t="s">
        <v>975</v>
      </c>
      <c r="D69" s="167" t="s">
        <v>974</v>
      </c>
      <c r="E69" s="167" t="s">
        <v>974</v>
      </c>
      <c r="F69" s="167" t="s">
        <v>974</v>
      </c>
      <c r="G69" s="171" t="s">
        <v>989</v>
      </c>
    </row>
    <row r="70" spans="2:37" x14ac:dyDescent="0.25">
      <c r="B70" s="168" t="s">
        <v>977</v>
      </c>
      <c r="C70" s="167" t="s">
        <v>974</v>
      </c>
      <c r="D70" s="166" t="s">
        <v>974</v>
      </c>
      <c r="E70" s="166" t="s">
        <v>974</v>
      </c>
      <c r="F70" s="166" t="s">
        <v>974</v>
      </c>
      <c r="G70" s="171" t="s">
        <v>978</v>
      </c>
    </row>
    <row r="71" spans="2:37" x14ac:dyDescent="0.25">
      <c r="B71" s="172" t="s">
        <v>977</v>
      </c>
      <c r="C71" s="173" t="s">
        <v>974</v>
      </c>
      <c r="D71" s="174" t="s">
        <v>975</v>
      </c>
      <c r="E71" s="174" t="s">
        <v>975</v>
      </c>
      <c r="F71" s="173" t="s">
        <v>974</v>
      </c>
      <c r="G71" s="169" t="s">
        <v>979</v>
      </c>
    </row>
    <row r="72" spans="2:37" x14ac:dyDescent="0.25">
      <c r="C72" s="132"/>
    </row>
    <row r="73" spans="2:37" x14ac:dyDescent="0.25">
      <c r="B73" s="167" t="s">
        <v>974</v>
      </c>
      <c r="C73" s="167" t="s">
        <v>974</v>
      </c>
      <c r="D73" s="168" t="s">
        <v>977</v>
      </c>
      <c r="E73" s="165" t="s">
        <v>975</v>
      </c>
      <c r="F73" s="165" t="s">
        <v>975</v>
      </c>
      <c r="G73" s="169" t="s">
        <v>980</v>
      </c>
    </row>
    <row r="74" spans="2:37" x14ac:dyDescent="0.25">
      <c r="B74" s="167" t="s">
        <v>974</v>
      </c>
      <c r="C74" s="167" t="s">
        <v>974</v>
      </c>
      <c r="D74" s="168" t="s">
        <v>977</v>
      </c>
      <c r="E74" s="166" t="s">
        <v>974</v>
      </c>
      <c r="F74" s="165" t="s">
        <v>975</v>
      </c>
      <c r="G74" s="171" t="s">
        <v>981</v>
      </c>
    </row>
    <row r="75" spans="2:37" x14ac:dyDescent="0.25">
      <c r="B75" s="167" t="s">
        <v>974</v>
      </c>
      <c r="C75" s="167" t="s">
        <v>974</v>
      </c>
      <c r="D75" s="168" t="s">
        <v>977</v>
      </c>
      <c r="E75" s="166" t="s">
        <v>974</v>
      </c>
      <c r="F75" s="166" t="s">
        <v>974</v>
      </c>
      <c r="G75" s="171" t="s">
        <v>982</v>
      </c>
    </row>
    <row r="76" spans="2:37" x14ac:dyDescent="0.25">
      <c r="B76" s="167" t="s">
        <v>974</v>
      </c>
      <c r="C76" s="167" t="s">
        <v>974</v>
      </c>
      <c r="D76" s="166" t="s">
        <v>974</v>
      </c>
      <c r="E76" s="165" t="s">
        <v>975</v>
      </c>
      <c r="F76" s="166" t="s">
        <v>974</v>
      </c>
      <c r="G76" s="171" t="s">
        <v>983</v>
      </c>
    </row>
    <row r="77" spans="2:37" x14ac:dyDescent="0.25">
      <c r="B77" s="167" t="s">
        <v>974</v>
      </c>
      <c r="C77" s="167" t="s">
        <v>974</v>
      </c>
      <c r="D77" s="165" t="s">
        <v>975</v>
      </c>
      <c r="E77" s="165" t="s">
        <v>975</v>
      </c>
      <c r="F77" s="166" t="s">
        <v>974</v>
      </c>
      <c r="G77" s="171" t="s">
        <v>990</v>
      </c>
    </row>
    <row r="78" spans="2:37" x14ac:dyDescent="0.25">
      <c r="B78" s="167" t="s">
        <v>974</v>
      </c>
      <c r="C78" s="167" t="s">
        <v>974</v>
      </c>
      <c r="D78" s="168" t="s">
        <v>977</v>
      </c>
      <c r="E78" s="168" t="s">
        <v>977</v>
      </c>
      <c r="F78" s="166" t="s">
        <v>974</v>
      </c>
      <c r="G78" s="171" t="s">
        <v>991</v>
      </c>
    </row>
    <row r="79" spans="2:37" s="132" customFormat="1" x14ac:dyDescent="0.25">
      <c r="B79" s="167"/>
      <c r="C79" s="167"/>
      <c r="D79" s="168"/>
      <c r="E79" s="168"/>
      <c r="F79" s="165"/>
      <c r="G79" s="171"/>
    </row>
    <row r="80" spans="2:37" x14ac:dyDescent="0.25">
      <c r="C80" s="132"/>
    </row>
    <row r="81" spans="2:3" x14ac:dyDescent="0.25">
      <c r="C81" s="132"/>
    </row>
    <row r="82" spans="2:3" x14ac:dyDescent="0.25">
      <c r="B82" s="171" t="s">
        <v>992</v>
      </c>
      <c r="C82" s="132"/>
    </row>
    <row r="83" spans="2:3" x14ac:dyDescent="0.25">
      <c r="B83" s="130" t="s">
        <v>993</v>
      </c>
      <c r="C83" s="132"/>
    </row>
    <row r="84" spans="2:3" x14ac:dyDescent="0.25">
      <c r="B84" s="135" t="s">
        <v>994</v>
      </c>
      <c r="C84" s="1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7E0A7-68C8-43F4-9465-7754744EA457}">
  <dimension ref="B1:R10"/>
  <sheetViews>
    <sheetView workbookViewId="0">
      <selection activeCell="Q15" sqref="Q15"/>
    </sheetView>
  </sheetViews>
  <sheetFormatPr defaultRowHeight="15" x14ac:dyDescent="0.25"/>
  <cols>
    <col min="3" max="4" width="9.7109375" bestFit="1" customWidth="1"/>
    <col min="5" max="5" width="10" bestFit="1" customWidth="1"/>
    <col min="6" max="7" width="8.7109375" bestFit="1" customWidth="1"/>
    <col min="8" max="8" width="10" bestFit="1" customWidth="1"/>
    <col min="9" max="9" width="10" style="76" customWidth="1"/>
    <col min="10" max="10" width="10" bestFit="1" customWidth="1"/>
    <col min="11" max="11" width="8.85546875" bestFit="1" customWidth="1"/>
    <col min="12" max="12" width="18.42578125" bestFit="1" customWidth="1"/>
    <col min="13" max="14" width="8.85546875" bestFit="1" customWidth="1"/>
    <col min="15" max="15" width="12.85546875" style="76" customWidth="1"/>
    <col min="16" max="17" width="8.140625" bestFit="1" customWidth="1"/>
    <col min="18" max="18" width="12.7109375" customWidth="1"/>
  </cols>
  <sheetData>
    <row r="1" spans="2:18" x14ac:dyDescent="0.25">
      <c r="B1" s="38" t="s">
        <v>874</v>
      </c>
    </row>
    <row r="5" spans="2:18" s="42" customFormat="1" ht="45" x14ac:dyDescent="0.25">
      <c r="B5" s="40" t="s">
        <v>852</v>
      </c>
      <c r="C5" s="40" t="s">
        <v>853</v>
      </c>
      <c r="D5" s="40" t="s">
        <v>854</v>
      </c>
      <c r="E5" s="40" t="s">
        <v>302</v>
      </c>
      <c r="F5" s="40" t="s">
        <v>855</v>
      </c>
      <c r="G5" s="40" t="s">
        <v>856</v>
      </c>
      <c r="H5" s="40" t="s">
        <v>857</v>
      </c>
      <c r="I5" s="79" t="s">
        <v>844</v>
      </c>
      <c r="J5" s="40" t="s">
        <v>845</v>
      </c>
      <c r="K5" s="40" t="s">
        <v>12</v>
      </c>
      <c r="L5" s="40" t="s">
        <v>54</v>
      </c>
      <c r="M5" s="40" t="s">
        <v>858</v>
      </c>
      <c r="N5" s="40" t="s">
        <v>328</v>
      </c>
      <c r="O5" s="79" t="s">
        <v>875</v>
      </c>
      <c r="P5" s="41" t="s">
        <v>859</v>
      </c>
      <c r="Q5" s="41" t="s">
        <v>326</v>
      </c>
      <c r="R5" s="81" t="s">
        <v>839</v>
      </c>
    </row>
    <row r="6" spans="2:18" x14ac:dyDescent="0.25">
      <c r="B6" s="35" t="s">
        <v>860</v>
      </c>
      <c r="C6" s="43">
        <v>46225</v>
      </c>
      <c r="D6" s="43">
        <v>46226</v>
      </c>
      <c r="E6" s="35" t="s">
        <v>804</v>
      </c>
      <c r="F6" s="35" t="s">
        <v>689</v>
      </c>
      <c r="G6" s="35" t="s">
        <v>689</v>
      </c>
      <c r="H6" s="35" t="s">
        <v>804</v>
      </c>
      <c r="I6" s="83"/>
      <c r="J6" s="35" t="s">
        <v>804</v>
      </c>
      <c r="K6" s="35" t="s">
        <v>861</v>
      </c>
      <c r="L6" s="35" t="s">
        <v>862</v>
      </c>
      <c r="M6" s="95">
        <v>46291</v>
      </c>
      <c r="N6" s="95">
        <v>46291</v>
      </c>
      <c r="O6" s="96" t="s">
        <v>876</v>
      </c>
      <c r="P6" s="46">
        <v>500000</v>
      </c>
      <c r="Q6" s="46">
        <v>650000</v>
      </c>
      <c r="R6" s="46">
        <v>150000</v>
      </c>
    </row>
    <row r="7" spans="2:18" x14ac:dyDescent="0.25">
      <c r="B7" s="35" t="s">
        <v>860</v>
      </c>
      <c r="C7" s="43">
        <v>46225</v>
      </c>
      <c r="D7" s="43">
        <v>46226</v>
      </c>
      <c r="E7" s="35" t="s">
        <v>863</v>
      </c>
      <c r="F7" s="35" t="s">
        <v>689</v>
      </c>
      <c r="G7" s="35" t="s">
        <v>699</v>
      </c>
      <c r="H7" s="35" t="s">
        <v>863</v>
      </c>
      <c r="I7" s="83"/>
      <c r="J7" s="35" t="s">
        <v>864</v>
      </c>
      <c r="K7" s="35" t="s">
        <v>816</v>
      </c>
      <c r="L7" s="35" t="s">
        <v>865</v>
      </c>
      <c r="M7" s="95">
        <v>46321</v>
      </c>
      <c r="N7" s="95">
        <v>46321</v>
      </c>
      <c r="O7" s="96"/>
      <c r="P7" s="46">
        <v>800000</v>
      </c>
      <c r="Q7" s="46">
        <v>800000</v>
      </c>
      <c r="R7" s="45">
        <v>0</v>
      </c>
    </row>
    <row r="8" spans="2:18" x14ac:dyDescent="0.25">
      <c r="B8" s="35" t="s">
        <v>860</v>
      </c>
      <c r="C8" s="43">
        <v>46225</v>
      </c>
      <c r="D8" s="43">
        <v>46226</v>
      </c>
      <c r="E8" s="35" t="s">
        <v>815</v>
      </c>
      <c r="F8" s="35" t="s">
        <v>699</v>
      </c>
      <c r="G8" s="35" t="s">
        <v>699</v>
      </c>
      <c r="H8" s="35" t="s">
        <v>815</v>
      </c>
      <c r="I8" s="83"/>
      <c r="J8" s="35" t="s">
        <v>815</v>
      </c>
      <c r="K8" s="35" t="s">
        <v>824</v>
      </c>
      <c r="L8" s="35" t="s">
        <v>866</v>
      </c>
      <c r="M8" s="95">
        <v>46260</v>
      </c>
      <c r="N8" s="95">
        <v>46291</v>
      </c>
      <c r="O8" s="97" t="s">
        <v>877</v>
      </c>
      <c r="P8" s="46">
        <v>300000</v>
      </c>
      <c r="Q8" s="46">
        <v>300000</v>
      </c>
      <c r="R8" s="45">
        <v>0</v>
      </c>
    </row>
    <row r="9" spans="2:18" x14ac:dyDescent="0.25">
      <c r="B9" s="35" t="s">
        <v>860</v>
      </c>
      <c r="C9" s="43">
        <v>46225</v>
      </c>
      <c r="D9" s="43">
        <v>46226</v>
      </c>
      <c r="E9" s="35" t="s">
        <v>867</v>
      </c>
      <c r="F9" s="35" t="s">
        <v>868</v>
      </c>
      <c r="G9" s="35" t="s">
        <v>689</v>
      </c>
      <c r="H9" s="35" t="s">
        <v>868</v>
      </c>
      <c r="I9" s="83"/>
      <c r="J9" s="35" t="s">
        <v>867</v>
      </c>
      <c r="K9" s="35" t="s">
        <v>869</v>
      </c>
      <c r="L9" s="35" t="s">
        <v>870</v>
      </c>
      <c r="M9" s="35" t="s">
        <v>868</v>
      </c>
      <c r="N9" s="95">
        <v>46108</v>
      </c>
      <c r="O9" s="96"/>
      <c r="P9" s="45">
        <v>0</v>
      </c>
      <c r="Q9" s="46">
        <v>250000</v>
      </c>
      <c r="R9" s="46">
        <v>250000</v>
      </c>
    </row>
    <row r="10" spans="2:18" x14ac:dyDescent="0.25">
      <c r="B10" s="35" t="s">
        <v>860</v>
      </c>
      <c r="C10" s="43">
        <v>46225</v>
      </c>
      <c r="D10" s="43">
        <v>46226</v>
      </c>
      <c r="E10" s="35" t="s">
        <v>871</v>
      </c>
      <c r="F10" s="35" t="s">
        <v>689</v>
      </c>
      <c r="G10" s="35" t="s">
        <v>868</v>
      </c>
      <c r="H10" s="35" t="s">
        <v>871</v>
      </c>
      <c r="I10" s="83"/>
      <c r="J10" s="35" t="s">
        <v>868</v>
      </c>
      <c r="K10" s="35" t="s">
        <v>872</v>
      </c>
      <c r="L10" s="35" t="s">
        <v>873</v>
      </c>
      <c r="M10" s="95">
        <v>46352</v>
      </c>
      <c r="N10" s="35" t="s">
        <v>868</v>
      </c>
      <c r="O10" s="83"/>
      <c r="P10" s="46">
        <v>175000</v>
      </c>
      <c r="Q10" s="45">
        <v>0</v>
      </c>
      <c r="R10" s="46">
        <v>-175000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8168889431442"/>
  </sheetPr>
  <dimension ref="A1:B12"/>
  <sheetViews>
    <sheetView workbookViewId="0">
      <selection activeCell="C16" sqref="C16"/>
    </sheetView>
  </sheetViews>
  <sheetFormatPr defaultRowHeight="15" x14ac:dyDescent="0.25"/>
  <cols>
    <col min="2" max="2" width="63.42578125" bestFit="1" customWidth="1"/>
  </cols>
  <sheetData>
    <row r="1" spans="1:2" x14ac:dyDescent="0.25">
      <c r="A1" s="1" t="s">
        <v>330</v>
      </c>
      <c r="B1" s="1" t="s">
        <v>331</v>
      </c>
    </row>
    <row r="2" spans="1:2" x14ac:dyDescent="0.25">
      <c r="A2">
        <v>1</v>
      </c>
      <c r="B2" t="s">
        <v>332</v>
      </c>
    </row>
    <row r="3" spans="1:2" x14ac:dyDescent="0.25">
      <c r="A3">
        <v>2</v>
      </c>
      <c r="B3" t="s">
        <v>333</v>
      </c>
    </row>
    <row r="4" spans="1:2" x14ac:dyDescent="0.25">
      <c r="A4">
        <v>3</v>
      </c>
      <c r="B4" t="s">
        <v>334</v>
      </c>
    </row>
    <row r="5" spans="1:2" x14ac:dyDescent="0.25">
      <c r="A5">
        <v>4</v>
      </c>
      <c r="B5" t="s">
        <v>335</v>
      </c>
    </row>
    <row r="6" spans="1:2" x14ac:dyDescent="0.25">
      <c r="A6">
        <v>5</v>
      </c>
      <c r="B6" t="s">
        <v>336</v>
      </c>
    </row>
    <row r="7" spans="1:2" x14ac:dyDescent="0.25">
      <c r="A7">
        <v>6</v>
      </c>
      <c r="B7" t="s">
        <v>337</v>
      </c>
    </row>
    <row r="8" spans="1:2" x14ac:dyDescent="0.25">
      <c r="A8">
        <v>7</v>
      </c>
      <c r="B8" t="s">
        <v>338</v>
      </c>
    </row>
    <row r="9" spans="1:2" x14ac:dyDescent="0.25">
      <c r="A9">
        <v>8</v>
      </c>
      <c r="B9" t="s">
        <v>339</v>
      </c>
    </row>
    <row r="10" spans="1:2" x14ac:dyDescent="0.25">
      <c r="A10">
        <v>9</v>
      </c>
      <c r="B10" t="s">
        <v>340</v>
      </c>
    </row>
    <row r="11" spans="1:2" x14ac:dyDescent="0.25">
      <c r="A11">
        <v>10</v>
      </c>
      <c r="B11" t="s">
        <v>341</v>
      </c>
    </row>
    <row r="12" spans="1:2" x14ac:dyDescent="0.25">
      <c r="A12">
        <v>11</v>
      </c>
      <c r="B12" t="s">
        <v>342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79998168889431442"/>
  </sheetPr>
  <dimension ref="A1:F5"/>
  <sheetViews>
    <sheetView workbookViewId="0">
      <selection activeCell="C16" sqref="C16"/>
    </sheetView>
  </sheetViews>
  <sheetFormatPr defaultRowHeight="15" x14ac:dyDescent="0.25"/>
  <cols>
    <col min="1" max="1" width="15" customWidth="1"/>
    <col min="2" max="2" width="42" customWidth="1"/>
    <col min="3" max="3" width="28" customWidth="1"/>
    <col min="4" max="4" width="32" customWidth="1"/>
    <col min="5" max="5" width="28" customWidth="1"/>
    <col min="6" max="6" width="42" customWidth="1"/>
  </cols>
  <sheetData>
    <row r="1" spans="1:6" ht="32.1" customHeight="1" x14ac:dyDescent="0.25">
      <c r="A1" s="3" t="s">
        <v>67</v>
      </c>
      <c r="B1" s="3" t="s">
        <v>68</v>
      </c>
      <c r="C1" s="3" t="s">
        <v>69</v>
      </c>
      <c r="D1" s="3" t="s">
        <v>70</v>
      </c>
      <c r="E1" s="4" t="s">
        <v>71</v>
      </c>
      <c r="F1" s="4" t="s">
        <v>72</v>
      </c>
    </row>
    <row r="2" spans="1:6" ht="30" x14ac:dyDescent="0.25">
      <c r="A2" s="2" t="s">
        <v>73</v>
      </c>
      <c r="B2" s="2" t="s">
        <v>74</v>
      </c>
      <c r="C2" s="2" t="s">
        <v>75</v>
      </c>
      <c r="D2" s="2" t="s">
        <v>76</v>
      </c>
      <c r="E2" s="2" t="s">
        <v>77</v>
      </c>
      <c r="F2" s="2" t="s">
        <v>78</v>
      </c>
    </row>
    <row r="3" spans="1:6" ht="45" x14ac:dyDescent="0.25">
      <c r="A3" s="2" t="s">
        <v>79</v>
      </c>
      <c r="B3" s="2" t="s">
        <v>80</v>
      </c>
      <c r="C3" s="2" t="s">
        <v>81</v>
      </c>
      <c r="D3" s="2" t="s">
        <v>82</v>
      </c>
      <c r="E3" s="2" t="s">
        <v>83</v>
      </c>
      <c r="F3" s="2" t="s">
        <v>84</v>
      </c>
    </row>
    <row r="4" spans="1:6" ht="30" x14ac:dyDescent="0.25">
      <c r="A4" s="2" t="s">
        <v>85</v>
      </c>
      <c r="B4" s="2" t="s">
        <v>86</v>
      </c>
      <c r="C4" s="2" t="s">
        <v>81</v>
      </c>
      <c r="D4" s="2" t="s">
        <v>87</v>
      </c>
      <c r="E4" s="2" t="s">
        <v>88</v>
      </c>
      <c r="F4" s="6" t="s">
        <v>89</v>
      </c>
    </row>
    <row r="5" spans="1:6" ht="30" x14ac:dyDescent="0.25">
      <c r="A5" s="2" t="s">
        <v>90</v>
      </c>
      <c r="B5" s="2" t="s">
        <v>91</v>
      </c>
      <c r="C5" s="2" t="s">
        <v>92</v>
      </c>
      <c r="D5" s="2" t="s">
        <v>30</v>
      </c>
      <c r="E5" s="2" t="s">
        <v>40</v>
      </c>
      <c r="F5" s="2" t="s">
        <v>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F18"/>
  <sheetViews>
    <sheetView workbookViewId="0">
      <selection activeCell="F18" sqref="F18"/>
    </sheetView>
  </sheetViews>
  <sheetFormatPr defaultRowHeight="15" x14ac:dyDescent="0.25"/>
  <cols>
    <col min="1" max="1" width="10" customWidth="1"/>
    <col min="2" max="2" width="34" customWidth="1"/>
    <col min="3" max="3" width="22" customWidth="1"/>
    <col min="4" max="4" width="55" customWidth="1"/>
    <col min="5" max="5" width="28" customWidth="1"/>
    <col min="6" max="6" width="38" customWidth="1"/>
  </cols>
  <sheetData>
    <row r="1" spans="1:6" ht="32.1" customHeight="1" x14ac:dyDescent="0.25">
      <c r="A1" s="3" t="s">
        <v>94</v>
      </c>
      <c r="B1" s="3" t="s">
        <v>95</v>
      </c>
      <c r="C1" s="3" t="s">
        <v>96</v>
      </c>
      <c r="D1" s="3" t="s">
        <v>97</v>
      </c>
      <c r="E1" s="3" t="s">
        <v>98</v>
      </c>
      <c r="F1" s="3" t="s">
        <v>99</v>
      </c>
    </row>
    <row r="2" spans="1:6" ht="30" x14ac:dyDescent="0.25">
      <c r="A2" s="2">
        <v>5</v>
      </c>
      <c r="B2" s="2" t="s">
        <v>100</v>
      </c>
      <c r="C2" s="2" t="s">
        <v>101</v>
      </c>
      <c r="D2" s="2" t="s">
        <v>102</v>
      </c>
      <c r="E2" s="2" t="s">
        <v>20</v>
      </c>
      <c r="F2" s="2" t="s">
        <v>103</v>
      </c>
    </row>
    <row r="3" spans="1:6" ht="30" x14ac:dyDescent="0.25">
      <c r="A3" s="2">
        <v>10</v>
      </c>
      <c r="B3" s="2" t="s">
        <v>104</v>
      </c>
      <c r="C3" s="2" t="s">
        <v>101</v>
      </c>
      <c r="D3" s="2" t="s">
        <v>105</v>
      </c>
      <c r="E3" s="2" t="s">
        <v>24</v>
      </c>
      <c r="F3" s="2" t="s">
        <v>106</v>
      </c>
    </row>
    <row r="4" spans="1:6" ht="30" x14ac:dyDescent="0.25">
      <c r="A4" s="2">
        <v>11</v>
      </c>
      <c r="B4" s="2" t="s">
        <v>107</v>
      </c>
      <c r="C4" s="2" t="s">
        <v>101</v>
      </c>
      <c r="D4" s="2" t="s">
        <v>108</v>
      </c>
      <c r="E4" s="2" t="s">
        <v>24</v>
      </c>
      <c r="F4" s="2" t="s">
        <v>106</v>
      </c>
    </row>
    <row r="5" spans="1:6" ht="30" x14ac:dyDescent="0.25">
      <c r="A5" s="2">
        <v>20</v>
      </c>
      <c r="B5" s="2" t="s">
        <v>109</v>
      </c>
      <c r="C5" s="2" t="s">
        <v>101</v>
      </c>
      <c r="D5" s="2" t="s">
        <v>110</v>
      </c>
      <c r="E5" s="2" t="s">
        <v>24</v>
      </c>
      <c r="F5" s="2" t="s">
        <v>111</v>
      </c>
    </row>
    <row r="6" spans="1:6" ht="30" x14ac:dyDescent="0.25">
      <c r="A6" s="2">
        <v>21</v>
      </c>
      <c r="B6" s="2" t="s">
        <v>112</v>
      </c>
      <c r="C6" s="2" t="s">
        <v>101</v>
      </c>
      <c r="D6" s="2" t="s">
        <v>113</v>
      </c>
      <c r="E6" s="2" t="s">
        <v>24</v>
      </c>
      <c r="F6" s="2" t="s">
        <v>114</v>
      </c>
    </row>
    <row r="7" spans="1:6" ht="30" x14ac:dyDescent="0.25">
      <c r="A7" s="2">
        <v>25</v>
      </c>
      <c r="B7" s="2" t="s">
        <v>115</v>
      </c>
      <c r="C7" s="2" t="s">
        <v>101</v>
      </c>
      <c r="D7" s="2" t="s">
        <v>116</v>
      </c>
      <c r="E7" s="2" t="s">
        <v>117</v>
      </c>
      <c r="F7" s="2" t="s">
        <v>118</v>
      </c>
    </row>
    <row r="8" spans="1:6" x14ac:dyDescent="0.25">
      <c r="A8" s="2">
        <v>26</v>
      </c>
      <c r="B8" s="2" t="s">
        <v>119</v>
      </c>
      <c r="C8" s="2" t="s">
        <v>101</v>
      </c>
      <c r="D8" s="2" t="s">
        <v>120</v>
      </c>
      <c r="E8" s="2" t="s">
        <v>121</v>
      </c>
      <c r="F8" s="2" t="s">
        <v>122</v>
      </c>
    </row>
    <row r="9" spans="1:6" x14ac:dyDescent="0.25">
      <c r="A9" s="2">
        <v>27</v>
      </c>
      <c r="B9" s="2" t="s">
        <v>123</v>
      </c>
      <c r="C9" s="2" t="s">
        <v>101</v>
      </c>
      <c r="D9" s="2" t="s">
        <v>124</v>
      </c>
      <c r="E9" s="2" t="s">
        <v>121</v>
      </c>
      <c r="F9" s="2" t="s">
        <v>125</v>
      </c>
    </row>
    <row r="10" spans="1:6" ht="45" x14ac:dyDescent="0.25">
      <c r="A10" s="2">
        <v>30</v>
      </c>
      <c r="B10" s="2" t="s">
        <v>126</v>
      </c>
      <c r="C10" s="2" t="s">
        <v>101</v>
      </c>
      <c r="D10" s="2" t="s">
        <v>127</v>
      </c>
      <c r="E10" s="2" t="s">
        <v>128</v>
      </c>
      <c r="F10" s="2" t="s">
        <v>129</v>
      </c>
    </row>
    <row r="11" spans="1:6" ht="30" x14ac:dyDescent="0.25">
      <c r="A11" s="2">
        <v>31</v>
      </c>
      <c r="B11" s="2" t="s">
        <v>130</v>
      </c>
      <c r="C11" s="2" t="s">
        <v>101</v>
      </c>
      <c r="D11" s="2" t="s">
        <v>131</v>
      </c>
      <c r="E11" s="2" t="s">
        <v>128</v>
      </c>
      <c r="F11" s="2" t="s">
        <v>132</v>
      </c>
    </row>
    <row r="12" spans="1:6" ht="30" x14ac:dyDescent="0.25">
      <c r="A12" s="2">
        <v>32</v>
      </c>
      <c r="B12" s="2" t="s">
        <v>133</v>
      </c>
      <c r="C12" s="2" t="s">
        <v>101</v>
      </c>
      <c r="D12" s="2" t="s">
        <v>134</v>
      </c>
      <c r="E12" s="2" t="s">
        <v>128</v>
      </c>
      <c r="F12" s="2" t="s">
        <v>135</v>
      </c>
    </row>
    <row r="13" spans="1:6" x14ac:dyDescent="0.25">
      <c r="A13" s="2">
        <v>33</v>
      </c>
      <c r="B13" s="2" t="s">
        <v>136</v>
      </c>
      <c r="C13" s="2" t="s">
        <v>101</v>
      </c>
      <c r="D13" s="2" t="s">
        <v>137</v>
      </c>
      <c r="E13" s="2" t="s">
        <v>128</v>
      </c>
      <c r="F13" s="2" t="s">
        <v>138</v>
      </c>
    </row>
    <row r="14" spans="1:6" x14ac:dyDescent="0.25">
      <c r="A14" s="2">
        <v>34</v>
      </c>
      <c r="B14" s="2" t="s">
        <v>139</v>
      </c>
      <c r="C14" s="2" t="s">
        <v>101</v>
      </c>
      <c r="D14" s="2" t="s">
        <v>140</v>
      </c>
      <c r="E14" s="2" t="s">
        <v>128</v>
      </c>
      <c r="F14" s="2" t="s">
        <v>141</v>
      </c>
    </row>
    <row r="15" spans="1:6" ht="30" x14ac:dyDescent="0.25">
      <c r="A15" s="2">
        <v>40</v>
      </c>
      <c r="B15" s="2" t="s">
        <v>142</v>
      </c>
      <c r="C15" s="2" t="s">
        <v>143</v>
      </c>
      <c r="D15" s="2" t="s">
        <v>144</v>
      </c>
      <c r="E15" s="2" t="s">
        <v>145</v>
      </c>
      <c r="F15" s="2" t="s">
        <v>146</v>
      </c>
    </row>
    <row r="16" spans="1:6" ht="30" x14ac:dyDescent="0.25">
      <c r="A16" s="2">
        <v>41</v>
      </c>
      <c r="B16" s="2" t="s">
        <v>147</v>
      </c>
      <c r="C16" s="2" t="s">
        <v>143</v>
      </c>
      <c r="D16" s="2" t="s">
        <v>148</v>
      </c>
      <c r="E16" s="2" t="s">
        <v>145</v>
      </c>
      <c r="F16" s="2" t="s">
        <v>149</v>
      </c>
    </row>
    <row r="17" spans="1:6" ht="30" x14ac:dyDescent="0.25">
      <c r="A17" s="2">
        <v>42</v>
      </c>
      <c r="B17" s="2" t="s">
        <v>150</v>
      </c>
      <c r="C17" s="2" t="s">
        <v>143</v>
      </c>
      <c r="D17" s="2" t="s">
        <v>151</v>
      </c>
      <c r="E17" s="2" t="s">
        <v>145</v>
      </c>
      <c r="F17" s="2" t="s">
        <v>152</v>
      </c>
    </row>
    <row r="18" spans="1:6" ht="30" x14ac:dyDescent="0.25">
      <c r="A18" s="2">
        <v>99</v>
      </c>
      <c r="B18" s="2" t="s">
        <v>153</v>
      </c>
      <c r="C18" s="2" t="s">
        <v>154</v>
      </c>
      <c r="D18" s="2" t="s">
        <v>155</v>
      </c>
      <c r="E18" s="2" t="s">
        <v>156</v>
      </c>
      <c r="F18" s="2" t="s">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N29"/>
  <sheetViews>
    <sheetView workbookViewId="0">
      <pane ySplit="3" topLeftCell="A8" activePane="bottomLeft" state="frozen"/>
      <selection pane="bottomLeft" activeCell="B34" sqref="B34"/>
    </sheetView>
  </sheetViews>
  <sheetFormatPr defaultRowHeight="15" x14ac:dyDescent="0.25"/>
  <cols>
    <col min="1" max="1" width="15" customWidth="1"/>
    <col min="2" max="2" width="24" customWidth="1"/>
    <col min="3" max="3" width="22" customWidth="1"/>
    <col min="4" max="4" width="17" customWidth="1"/>
    <col min="5" max="6" width="18" customWidth="1"/>
    <col min="7" max="7" width="22" customWidth="1"/>
    <col min="8" max="9" width="17" customWidth="1"/>
    <col min="10" max="10" width="18" customWidth="1"/>
    <col min="11" max="11" width="19" customWidth="1"/>
    <col min="12" max="13" width="16" customWidth="1"/>
    <col min="14" max="14" width="52" customWidth="1"/>
  </cols>
  <sheetData>
    <row r="1" spans="1:14" ht="24" customHeight="1" x14ac:dyDescent="0.25">
      <c r="A1" s="127" t="s">
        <v>683</v>
      </c>
      <c r="B1" s="127"/>
      <c r="C1" s="127"/>
      <c r="D1" s="127"/>
      <c r="E1" s="127"/>
      <c r="F1" s="127"/>
      <c r="G1" s="127"/>
      <c r="H1" s="127"/>
      <c r="I1" s="127"/>
      <c r="J1" s="127"/>
      <c r="K1" s="127"/>
      <c r="L1" s="127"/>
      <c r="M1" s="127"/>
      <c r="N1" s="127"/>
    </row>
    <row r="2" spans="1:14" ht="33.950000000000003" customHeight="1" x14ac:dyDescent="0.25">
      <c r="A2" s="128" t="s">
        <v>684</v>
      </c>
      <c r="B2" s="128"/>
      <c r="C2" s="128"/>
      <c r="D2" s="128"/>
      <c r="E2" s="128"/>
      <c r="F2" s="128"/>
      <c r="G2" s="128"/>
      <c r="H2" s="128"/>
      <c r="I2" s="128"/>
      <c r="J2" s="128"/>
      <c r="K2" s="128"/>
      <c r="L2" s="128"/>
      <c r="M2" s="128"/>
      <c r="N2" s="128"/>
    </row>
    <row r="4" spans="1:14" x14ac:dyDescent="0.25">
      <c r="A4" s="129" t="s">
        <v>685</v>
      </c>
      <c r="B4" s="129"/>
      <c r="C4" s="129"/>
      <c r="D4" s="129"/>
      <c r="E4" s="129"/>
      <c r="F4" s="129"/>
      <c r="G4" s="129"/>
      <c r="H4" s="129"/>
      <c r="I4" s="129"/>
      <c r="J4" s="129"/>
      <c r="K4" s="129"/>
      <c r="L4" s="129"/>
      <c r="M4" s="129"/>
      <c r="N4" s="129"/>
    </row>
    <row r="5" spans="1:14" ht="30" x14ac:dyDescent="0.25">
      <c r="A5" s="7" t="s">
        <v>64</v>
      </c>
      <c r="B5" s="8" t="s">
        <v>296</v>
      </c>
      <c r="C5" s="8" t="s">
        <v>7</v>
      </c>
      <c r="D5" s="8" t="s">
        <v>9</v>
      </c>
      <c r="E5" s="8" t="s">
        <v>302</v>
      </c>
      <c r="F5" s="8" t="s">
        <v>12</v>
      </c>
      <c r="G5" s="8" t="s">
        <v>53</v>
      </c>
      <c r="H5" s="8" t="s">
        <v>40</v>
      </c>
      <c r="I5" s="8" t="s">
        <v>20</v>
      </c>
      <c r="J5" s="8" t="s">
        <v>24</v>
      </c>
      <c r="K5" s="8" t="s">
        <v>32</v>
      </c>
      <c r="L5" s="8" t="s">
        <v>317</v>
      </c>
      <c r="M5" s="8" t="s">
        <v>686</v>
      </c>
      <c r="N5" s="9" t="s">
        <v>687</v>
      </c>
    </row>
    <row r="6" spans="1:14" x14ac:dyDescent="0.25">
      <c r="A6" s="18" t="s">
        <v>688</v>
      </c>
      <c r="B6" s="11" t="s">
        <v>689</v>
      </c>
      <c r="C6" s="11" t="s">
        <v>690</v>
      </c>
      <c r="D6" s="11" t="s">
        <v>691</v>
      </c>
      <c r="E6" s="11" t="s">
        <v>690</v>
      </c>
      <c r="F6" s="11" t="s">
        <v>692</v>
      </c>
      <c r="G6" s="11" t="s">
        <v>693</v>
      </c>
      <c r="H6" s="21" t="s">
        <v>694</v>
      </c>
      <c r="I6" s="11" t="s">
        <v>235</v>
      </c>
      <c r="J6" s="24">
        <v>300000</v>
      </c>
      <c r="K6" s="24">
        <v>1.1000000000000001</v>
      </c>
      <c r="L6" s="24">
        <v>330000</v>
      </c>
      <c r="M6" s="11" t="s">
        <v>695</v>
      </c>
      <c r="N6" s="12" t="s">
        <v>696</v>
      </c>
    </row>
    <row r="7" spans="1:14" x14ac:dyDescent="0.25">
      <c r="A7" s="19" t="s">
        <v>697</v>
      </c>
      <c r="B7" s="2" t="s">
        <v>689</v>
      </c>
      <c r="C7" s="2" t="s">
        <v>690</v>
      </c>
      <c r="D7" s="2" t="s">
        <v>691</v>
      </c>
      <c r="E7" s="2" t="s">
        <v>690</v>
      </c>
      <c r="F7" s="2" t="s">
        <v>692</v>
      </c>
      <c r="G7" s="2" t="s">
        <v>693</v>
      </c>
      <c r="H7" s="22" t="s">
        <v>698</v>
      </c>
      <c r="I7" s="2" t="s">
        <v>235</v>
      </c>
      <c r="J7" s="5">
        <v>300000</v>
      </c>
      <c r="K7" s="5">
        <v>1.1200000000000001</v>
      </c>
      <c r="L7" s="5">
        <v>336000</v>
      </c>
      <c r="M7" s="2" t="s">
        <v>695</v>
      </c>
      <c r="N7" s="14" t="s">
        <v>696</v>
      </c>
    </row>
    <row r="8" spans="1:14" ht="30" x14ac:dyDescent="0.25">
      <c r="A8" s="19" t="s">
        <v>688</v>
      </c>
      <c r="B8" s="2" t="s">
        <v>699</v>
      </c>
      <c r="C8" s="2" t="s">
        <v>700</v>
      </c>
      <c r="D8" s="2" t="s">
        <v>701</v>
      </c>
      <c r="E8" s="2" t="s">
        <v>690</v>
      </c>
      <c r="F8" s="2" t="s">
        <v>692</v>
      </c>
      <c r="G8" s="2" t="s">
        <v>693</v>
      </c>
      <c r="H8" s="22" t="s">
        <v>694</v>
      </c>
      <c r="I8" s="2" t="s">
        <v>235</v>
      </c>
      <c r="J8" s="5">
        <v>300000</v>
      </c>
      <c r="K8" s="5">
        <v>1.1000000000000001</v>
      </c>
      <c r="L8" s="5">
        <v>330000</v>
      </c>
      <c r="M8" s="2" t="s">
        <v>702</v>
      </c>
      <c r="N8" s="14" t="s">
        <v>703</v>
      </c>
    </row>
    <row r="9" spans="1:14" ht="30" x14ac:dyDescent="0.25">
      <c r="A9" s="19" t="s">
        <v>697</v>
      </c>
      <c r="B9" s="2" t="s">
        <v>699</v>
      </c>
      <c r="C9" s="2" t="s">
        <v>700</v>
      </c>
      <c r="D9" s="2" t="s">
        <v>701</v>
      </c>
      <c r="E9" s="2" t="s">
        <v>690</v>
      </c>
      <c r="F9" s="2" t="s">
        <v>692</v>
      </c>
      <c r="G9" s="2" t="s">
        <v>693</v>
      </c>
      <c r="H9" s="22" t="s">
        <v>694</v>
      </c>
      <c r="I9" s="2" t="s">
        <v>235</v>
      </c>
      <c r="J9" s="5">
        <v>350000</v>
      </c>
      <c r="K9" s="5">
        <v>1.1200000000000001</v>
      </c>
      <c r="L9" s="5">
        <v>392000</v>
      </c>
      <c r="M9" s="2" t="s">
        <v>702</v>
      </c>
      <c r="N9" s="14" t="s">
        <v>703</v>
      </c>
    </row>
    <row r="10" spans="1:14" x14ac:dyDescent="0.25">
      <c r="A10" s="19" t="s">
        <v>697</v>
      </c>
      <c r="B10" s="2" t="s">
        <v>704</v>
      </c>
      <c r="C10" s="2" t="s">
        <v>705</v>
      </c>
      <c r="D10" s="2" t="s">
        <v>706</v>
      </c>
      <c r="E10" s="2" t="s">
        <v>690</v>
      </c>
      <c r="F10" s="2" t="s">
        <v>692</v>
      </c>
      <c r="G10" s="2" t="s">
        <v>693</v>
      </c>
      <c r="H10" s="22" t="s">
        <v>707</v>
      </c>
      <c r="I10" s="2" t="s">
        <v>235</v>
      </c>
      <c r="J10" s="5">
        <v>100000</v>
      </c>
      <c r="K10" s="5">
        <v>1.1200000000000001</v>
      </c>
      <c r="L10" s="5">
        <v>112000</v>
      </c>
      <c r="M10" s="2" t="s">
        <v>708</v>
      </c>
      <c r="N10" s="14" t="s">
        <v>696</v>
      </c>
    </row>
    <row r="11" spans="1:14" x14ac:dyDescent="0.25">
      <c r="A11" s="20" t="s">
        <v>697</v>
      </c>
      <c r="B11" s="16" t="s">
        <v>709</v>
      </c>
      <c r="C11" s="16" t="s">
        <v>710</v>
      </c>
      <c r="D11" s="16" t="s">
        <v>711</v>
      </c>
      <c r="E11" s="16"/>
      <c r="F11" s="16" t="s">
        <v>692</v>
      </c>
      <c r="G11" s="16" t="s">
        <v>693</v>
      </c>
      <c r="H11" s="23" t="s">
        <v>707</v>
      </c>
      <c r="I11" s="16" t="s">
        <v>246</v>
      </c>
      <c r="J11" s="25">
        <v>500000</v>
      </c>
      <c r="K11" s="25">
        <v>1</v>
      </c>
      <c r="L11" s="25">
        <v>500000</v>
      </c>
      <c r="M11" s="16" t="s">
        <v>712</v>
      </c>
      <c r="N11" s="17" t="s">
        <v>696</v>
      </c>
    </row>
    <row r="14" spans="1:14" x14ac:dyDescent="0.25">
      <c r="A14" s="129" t="s">
        <v>713</v>
      </c>
      <c r="B14" s="129"/>
      <c r="C14" s="129"/>
      <c r="D14" s="129"/>
      <c r="E14" s="129"/>
      <c r="F14" s="129"/>
      <c r="G14" s="129"/>
      <c r="H14" s="129"/>
      <c r="I14" s="129"/>
      <c r="J14" s="129"/>
      <c r="K14" s="129"/>
      <c r="L14" s="129"/>
      <c r="M14" s="129"/>
      <c r="N14" s="129"/>
    </row>
    <row r="15" spans="1:14" ht="30" x14ac:dyDescent="0.25">
      <c r="A15" s="7" t="s">
        <v>714</v>
      </c>
      <c r="B15" s="8" t="s">
        <v>95</v>
      </c>
      <c r="C15" s="8" t="s">
        <v>322</v>
      </c>
      <c r="D15" s="8" t="s">
        <v>296</v>
      </c>
      <c r="E15" s="8" t="s">
        <v>9</v>
      </c>
      <c r="F15" s="8" t="s">
        <v>302</v>
      </c>
      <c r="G15" s="8" t="s">
        <v>12</v>
      </c>
      <c r="H15" s="8" t="s">
        <v>715</v>
      </c>
      <c r="I15" s="8" t="s">
        <v>716</v>
      </c>
      <c r="J15" s="8" t="s">
        <v>717</v>
      </c>
      <c r="K15" s="8" t="s">
        <v>718</v>
      </c>
      <c r="L15" s="8" t="s">
        <v>719</v>
      </c>
      <c r="M15" s="8" t="s">
        <v>720</v>
      </c>
      <c r="N15" s="9" t="s">
        <v>721</v>
      </c>
    </row>
    <row r="16" spans="1:14" ht="30" x14ac:dyDescent="0.25">
      <c r="A16" s="18" t="s">
        <v>697</v>
      </c>
      <c r="B16" s="11" t="s">
        <v>250</v>
      </c>
      <c r="C16" s="11" t="s">
        <v>251</v>
      </c>
      <c r="D16" s="11" t="s">
        <v>689</v>
      </c>
      <c r="E16" s="11" t="s">
        <v>691</v>
      </c>
      <c r="F16" s="11" t="s">
        <v>690</v>
      </c>
      <c r="G16" s="11" t="s">
        <v>692</v>
      </c>
      <c r="H16" s="24">
        <v>300000</v>
      </c>
      <c r="I16" s="24">
        <v>300000</v>
      </c>
      <c r="J16" s="24">
        <v>300000</v>
      </c>
      <c r="K16" s="24">
        <v>0</v>
      </c>
      <c r="L16" s="21" t="s">
        <v>694</v>
      </c>
      <c r="M16" s="21" t="s">
        <v>698</v>
      </c>
      <c r="N16" s="12" t="s">
        <v>722</v>
      </c>
    </row>
    <row r="17" spans="1:14" ht="45" x14ac:dyDescent="0.25">
      <c r="A17" s="19" t="s">
        <v>697</v>
      </c>
      <c r="B17" s="2" t="s">
        <v>236</v>
      </c>
      <c r="C17" s="2" t="s">
        <v>244</v>
      </c>
      <c r="D17" s="2" t="s">
        <v>699</v>
      </c>
      <c r="E17" s="2" t="s">
        <v>701</v>
      </c>
      <c r="F17" s="2" t="s">
        <v>690</v>
      </c>
      <c r="G17" s="2" t="s">
        <v>692</v>
      </c>
      <c r="H17" s="5">
        <v>300000</v>
      </c>
      <c r="I17" s="5">
        <v>300000</v>
      </c>
      <c r="J17" s="5">
        <v>350000</v>
      </c>
      <c r="K17" s="5">
        <v>62000</v>
      </c>
      <c r="L17" s="22" t="s">
        <v>694</v>
      </c>
      <c r="M17" s="22" t="s">
        <v>694</v>
      </c>
      <c r="N17" s="14" t="s">
        <v>723</v>
      </c>
    </row>
    <row r="18" spans="1:14" ht="45" x14ac:dyDescent="0.25">
      <c r="A18" s="19" t="s">
        <v>697</v>
      </c>
      <c r="B18" s="2" t="s">
        <v>724</v>
      </c>
      <c r="C18" s="2" t="s">
        <v>242</v>
      </c>
      <c r="D18" s="2" t="s">
        <v>689</v>
      </c>
      <c r="E18" s="2" t="s">
        <v>691</v>
      </c>
      <c r="F18" s="2" t="s">
        <v>690</v>
      </c>
      <c r="G18" s="2" t="s">
        <v>692</v>
      </c>
      <c r="H18" s="5">
        <v>300000</v>
      </c>
      <c r="I18" s="5">
        <v>300000</v>
      </c>
      <c r="J18" s="5">
        <v>300000</v>
      </c>
      <c r="K18" s="5">
        <v>6000</v>
      </c>
      <c r="L18" s="22" t="s">
        <v>694</v>
      </c>
      <c r="M18" s="22" t="s">
        <v>694</v>
      </c>
      <c r="N18" s="14" t="s">
        <v>725</v>
      </c>
    </row>
    <row r="19" spans="1:14" ht="30" x14ac:dyDescent="0.25">
      <c r="A19" s="19" t="s">
        <v>697</v>
      </c>
      <c r="B19" s="2" t="s">
        <v>726</v>
      </c>
      <c r="C19" s="2" t="s">
        <v>255</v>
      </c>
      <c r="D19" s="2" t="s">
        <v>699</v>
      </c>
      <c r="E19" s="2" t="s">
        <v>701</v>
      </c>
      <c r="F19" s="2" t="s">
        <v>690</v>
      </c>
      <c r="G19" s="2" t="s">
        <v>692</v>
      </c>
      <c r="H19" s="5">
        <v>300000</v>
      </c>
      <c r="I19" s="5"/>
      <c r="J19" s="5">
        <v>300000</v>
      </c>
      <c r="K19" s="5">
        <v>330000</v>
      </c>
      <c r="L19" s="22" t="s">
        <v>694</v>
      </c>
      <c r="M19" s="22" t="s">
        <v>694</v>
      </c>
      <c r="N19" s="14" t="s">
        <v>727</v>
      </c>
    </row>
    <row r="20" spans="1:14" ht="30" x14ac:dyDescent="0.25">
      <c r="A20" s="19" t="s">
        <v>697</v>
      </c>
      <c r="B20" s="2" t="s">
        <v>728</v>
      </c>
      <c r="C20" s="2" t="s">
        <v>255</v>
      </c>
      <c r="D20" s="2" t="s">
        <v>704</v>
      </c>
      <c r="E20" s="2" t="s">
        <v>706</v>
      </c>
      <c r="F20" s="2" t="s">
        <v>690</v>
      </c>
      <c r="G20" s="2" t="s">
        <v>692</v>
      </c>
      <c r="H20" s="5">
        <v>300000</v>
      </c>
      <c r="I20" s="5">
        <v>300000</v>
      </c>
      <c r="J20" s="5">
        <v>200000</v>
      </c>
      <c r="K20" s="5">
        <v>-112000</v>
      </c>
      <c r="L20" s="22" t="s">
        <v>694</v>
      </c>
      <c r="M20" s="22" t="s">
        <v>694</v>
      </c>
      <c r="N20" s="14" t="s">
        <v>729</v>
      </c>
    </row>
    <row r="21" spans="1:14" ht="30" x14ac:dyDescent="0.25">
      <c r="A21" s="20" t="s">
        <v>697</v>
      </c>
      <c r="B21" s="16" t="s">
        <v>730</v>
      </c>
      <c r="C21" s="16" t="s">
        <v>248</v>
      </c>
      <c r="D21" s="16" t="s">
        <v>704</v>
      </c>
      <c r="E21" s="16" t="s">
        <v>731</v>
      </c>
      <c r="F21" s="16" t="s">
        <v>732</v>
      </c>
      <c r="G21" s="16" t="s">
        <v>733</v>
      </c>
      <c r="H21" s="25">
        <v>75000</v>
      </c>
      <c r="I21" s="25">
        <v>75000</v>
      </c>
      <c r="J21" s="25">
        <v>75000</v>
      </c>
      <c r="K21" s="25"/>
      <c r="L21" s="23" t="s">
        <v>734</v>
      </c>
      <c r="M21" s="23" t="s">
        <v>734</v>
      </c>
      <c r="N21" s="17" t="s">
        <v>735</v>
      </c>
    </row>
    <row r="24" spans="1:14" x14ac:dyDescent="0.25">
      <c r="A24" s="129" t="s">
        <v>736</v>
      </c>
      <c r="B24" s="129"/>
      <c r="C24" s="129"/>
      <c r="D24" s="129"/>
      <c r="E24" s="129"/>
      <c r="F24" s="129"/>
      <c r="G24" s="129"/>
      <c r="H24" s="129"/>
      <c r="I24" s="129"/>
      <c r="J24" s="129"/>
      <c r="K24" s="129"/>
      <c r="L24" s="129"/>
      <c r="M24" s="129"/>
      <c r="N24" s="129"/>
    </row>
    <row r="25" spans="1:14" x14ac:dyDescent="0.25">
      <c r="A25" s="126" t="s">
        <v>737</v>
      </c>
      <c r="B25" s="126"/>
      <c r="C25" s="126"/>
      <c r="D25" s="126"/>
      <c r="E25" s="126"/>
      <c r="F25" s="126"/>
      <c r="G25" s="126"/>
      <c r="H25" s="126"/>
      <c r="I25" s="126"/>
      <c r="J25" s="126"/>
      <c r="K25" s="126"/>
      <c r="L25" s="126"/>
      <c r="M25" s="126"/>
      <c r="N25" s="126"/>
    </row>
    <row r="26" spans="1:14" x14ac:dyDescent="0.25">
      <c r="A26" s="126"/>
      <c r="B26" s="126"/>
      <c r="C26" s="126"/>
      <c r="D26" s="126"/>
      <c r="E26" s="126"/>
      <c r="F26" s="126"/>
      <c r="G26" s="126"/>
      <c r="H26" s="126"/>
      <c r="I26" s="126"/>
      <c r="J26" s="126"/>
      <c r="K26" s="126"/>
      <c r="L26" s="126"/>
      <c r="M26" s="126"/>
      <c r="N26" s="126"/>
    </row>
    <row r="27" spans="1:14" x14ac:dyDescent="0.25">
      <c r="A27" s="126"/>
      <c r="B27" s="126"/>
      <c r="C27" s="126"/>
      <c r="D27" s="126"/>
      <c r="E27" s="126"/>
      <c r="F27" s="126"/>
      <c r="G27" s="126"/>
      <c r="H27" s="126"/>
      <c r="I27" s="126"/>
      <c r="J27" s="126"/>
      <c r="K27" s="126"/>
      <c r="L27" s="126"/>
      <c r="M27" s="126"/>
      <c r="N27" s="126"/>
    </row>
    <row r="28" spans="1:14" x14ac:dyDescent="0.25">
      <c r="A28" s="126"/>
      <c r="B28" s="126"/>
      <c r="C28" s="126"/>
      <c r="D28" s="126"/>
      <c r="E28" s="126"/>
      <c r="F28" s="126"/>
      <c r="G28" s="126"/>
      <c r="H28" s="126"/>
      <c r="I28" s="126"/>
      <c r="J28" s="126"/>
      <c r="K28" s="126"/>
      <c r="L28" s="126"/>
      <c r="M28" s="126"/>
      <c r="N28" s="126"/>
    </row>
    <row r="29" spans="1:14" x14ac:dyDescent="0.25">
      <c r="A29" s="126"/>
      <c r="B29" s="126"/>
      <c r="C29" s="126"/>
      <c r="D29" s="126"/>
      <c r="E29" s="126"/>
      <c r="F29" s="126"/>
      <c r="G29" s="126"/>
      <c r="H29" s="126"/>
      <c r="I29" s="126"/>
      <c r="J29" s="126"/>
      <c r="K29" s="126"/>
      <c r="L29" s="126"/>
      <c r="M29" s="126"/>
      <c r="N29" s="126"/>
    </row>
  </sheetData>
  <mergeCells count="6">
    <mergeCell ref="A25:N29"/>
    <mergeCell ref="A1:N1"/>
    <mergeCell ref="A2:N2"/>
    <mergeCell ref="A4:N4"/>
    <mergeCell ref="A14:N14"/>
    <mergeCell ref="A24:N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CB3D-83FA-4D46-BB71-6FB69D0A43FF}">
  <sheetPr>
    <tabColor theme="1"/>
  </sheetPr>
  <dimension ref="A1"/>
  <sheetViews>
    <sheetView workbookViewId="0">
      <selection activeCell="R25" sqref="R25"/>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G20" sqref="G20"/>
    </sheetView>
  </sheetViews>
  <sheetFormatPr defaultRowHeight="15" x14ac:dyDescent="0.25"/>
  <cols>
    <col min="1" max="1" width="30" customWidth="1"/>
    <col min="2" max="2" width="12" customWidth="1"/>
    <col min="3" max="5" width="14" customWidth="1"/>
    <col min="6" max="7" width="12" customWidth="1"/>
    <col min="8" max="9" width="14" customWidth="1"/>
    <col min="10" max="10" width="38" customWidth="1"/>
    <col min="11" max="11" width="22" customWidth="1"/>
  </cols>
  <sheetData>
    <row r="1" spans="1:11" ht="32.1" customHeight="1" x14ac:dyDescent="0.25">
      <c r="A1" s="3" t="s">
        <v>224</v>
      </c>
      <c r="B1" s="3" t="s">
        <v>20</v>
      </c>
      <c r="C1" s="3" t="s">
        <v>225</v>
      </c>
      <c r="D1" s="3" t="s">
        <v>226</v>
      </c>
      <c r="E1" s="3" t="s">
        <v>227</v>
      </c>
      <c r="F1" s="4" t="s">
        <v>228</v>
      </c>
      <c r="G1" s="4" t="s">
        <v>229</v>
      </c>
      <c r="H1" s="4" t="s">
        <v>230</v>
      </c>
      <c r="I1" s="4" t="s">
        <v>231</v>
      </c>
      <c r="J1" s="4" t="s">
        <v>232</v>
      </c>
      <c r="K1" s="4" t="s">
        <v>233</v>
      </c>
    </row>
    <row r="2" spans="1:11" x14ac:dyDescent="0.25">
      <c r="A2" s="2" t="s">
        <v>234</v>
      </c>
      <c r="B2" s="2" t="s">
        <v>235</v>
      </c>
      <c r="C2" s="5">
        <v>300000</v>
      </c>
      <c r="D2" s="5">
        <v>300000</v>
      </c>
      <c r="E2" s="5">
        <v>350000</v>
      </c>
      <c r="F2" s="5">
        <v>1.1000000000000001</v>
      </c>
      <c r="G2" s="5">
        <v>1.1000000000000001</v>
      </c>
      <c r="H2" s="5">
        <v>330000</v>
      </c>
      <c r="I2" s="5">
        <v>385000</v>
      </c>
      <c r="J2" s="2" t="s">
        <v>236</v>
      </c>
      <c r="K2" s="2" t="s">
        <v>237</v>
      </c>
    </row>
    <row r="3" spans="1:11" x14ac:dyDescent="0.25">
      <c r="A3" s="2" t="s">
        <v>238</v>
      </c>
      <c r="B3" s="2" t="s">
        <v>235</v>
      </c>
      <c r="C3" s="5">
        <v>300000</v>
      </c>
      <c r="D3" s="5">
        <v>350000</v>
      </c>
      <c r="E3" s="5">
        <v>300000</v>
      </c>
      <c r="F3" s="5">
        <v>1.1000000000000001</v>
      </c>
      <c r="G3" s="5">
        <v>1.1000000000000001</v>
      </c>
      <c r="H3" s="5">
        <v>385000</v>
      </c>
      <c r="I3" s="5">
        <v>330000</v>
      </c>
      <c r="J3" s="2" t="s">
        <v>239</v>
      </c>
      <c r="K3" s="2" t="s">
        <v>237</v>
      </c>
    </row>
    <row r="4" spans="1:11" ht="30" x14ac:dyDescent="0.25">
      <c r="A4" s="2" t="s">
        <v>240</v>
      </c>
      <c r="B4" s="2" t="s">
        <v>235</v>
      </c>
      <c r="C4" s="5">
        <v>300000</v>
      </c>
      <c r="D4" s="5">
        <v>300000</v>
      </c>
      <c r="E4" s="5">
        <v>300000</v>
      </c>
      <c r="F4" s="5">
        <v>1.1000000000000001</v>
      </c>
      <c r="G4" s="5">
        <v>1.1200000000000001</v>
      </c>
      <c r="H4" s="5">
        <v>330000</v>
      </c>
      <c r="I4" s="5">
        <v>336000</v>
      </c>
      <c r="J4" s="2" t="s">
        <v>241</v>
      </c>
      <c r="K4" s="2" t="s">
        <v>242</v>
      </c>
    </row>
    <row r="5" spans="1:11" x14ac:dyDescent="0.25">
      <c r="A5" s="2" t="s">
        <v>243</v>
      </c>
      <c r="B5" s="2" t="s">
        <v>235</v>
      </c>
      <c r="C5" s="5">
        <v>300000</v>
      </c>
      <c r="D5" s="5">
        <v>300000</v>
      </c>
      <c r="E5" s="5">
        <v>350000</v>
      </c>
      <c r="F5" s="5">
        <v>1.1000000000000001</v>
      </c>
      <c r="G5" s="5">
        <v>1.1200000000000001</v>
      </c>
      <c r="H5" s="5">
        <v>330000</v>
      </c>
      <c r="I5" s="5">
        <v>392000</v>
      </c>
      <c r="J5" s="2" t="s">
        <v>236</v>
      </c>
      <c r="K5" s="2" t="s">
        <v>244</v>
      </c>
    </row>
    <row r="6" spans="1:11" x14ac:dyDescent="0.25">
      <c r="A6" s="2" t="s">
        <v>245</v>
      </c>
      <c r="B6" s="2" t="s">
        <v>246</v>
      </c>
      <c r="C6" s="5">
        <v>300000</v>
      </c>
      <c r="D6" s="5">
        <v>300000</v>
      </c>
      <c r="E6" s="5">
        <v>350000</v>
      </c>
      <c r="F6" s="5">
        <v>1</v>
      </c>
      <c r="G6" s="5">
        <v>1</v>
      </c>
      <c r="H6" s="5">
        <v>300000</v>
      </c>
      <c r="I6" s="5">
        <v>350000</v>
      </c>
      <c r="J6" s="2" t="s">
        <v>236</v>
      </c>
      <c r="K6" s="2" t="s">
        <v>237</v>
      </c>
    </row>
    <row r="7" spans="1:11" x14ac:dyDescent="0.25">
      <c r="A7" s="2" t="s">
        <v>247</v>
      </c>
      <c r="B7" s="2" t="s">
        <v>235</v>
      </c>
      <c r="C7" s="5">
        <v>300000</v>
      </c>
      <c r="D7" s="5">
        <v>300000</v>
      </c>
      <c r="E7" s="5">
        <v>300000</v>
      </c>
      <c r="F7" s="5">
        <v>1.1000000000000001</v>
      </c>
      <c r="G7" s="5">
        <v>1</v>
      </c>
      <c r="H7" s="5">
        <v>330000</v>
      </c>
      <c r="I7" s="5">
        <v>300000</v>
      </c>
      <c r="J7" s="2" t="s">
        <v>100</v>
      </c>
      <c r="K7" s="2" t="s">
        <v>248</v>
      </c>
    </row>
    <row r="8" spans="1:11" x14ac:dyDescent="0.25">
      <c r="A8" s="2" t="s">
        <v>249</v>
      </c>
      <c r="B8" s="2"/>
      <c r="C8" s="2"/>
      <c r="D8" s="2"/>
      <c r="E8" s="2"/>
      <c r="F8" s="2"/>
      <c r="G8" s="2"/>
      <c r="H8" s="2"/>
      <c r="I8" s="2"/>
      <c r="J8" s="2" t="s">
        <v>250</v>
      </c>
      <c r="K8" s="2" t="s">
        <v>251</v>
      </c>
    </row>
    <row r="9" spans="1:11" ht="30" x14ac:dyDescent="0.25">
      <c r="A9" s="2" t="s">
        <v>252</v>
      </c>
      <c r="B9" s="2"/>
      <c r="C9" s="2"/>
      <c r="D9" s="2"/>
      <c r="E9" s="2"/>
      <c r="F9" s="2"/>
      <c r="G9" s="2"/>
      <c r="H9" s="2"/>
      <c r="I9" s="2"/>
      <c r="J9" s="2" t="s">
        <v>253</v>
      </c>
      <c r="K9" s="2" t="s">
        <v>251</v>
      </c>
    </row>
    <row r="10" spans="1:11" x14ac:dyDescent="0.25">
      <c r="A10" s="2" t="s">
        <v>254</v>
      </c>
      <c r="B10" s="2"/>
      <c r="C10" s="2"/>
      <c r="D10" s="2"/>
      <c r="E10" s="2"/>
      <c r="F10" s="2"/>
      <c r="G10" s="2"/>
      <c r="H10" s="2"/>
      <c r="I10" s="2"/>
      <c r="J10" s="2" t="s">
        <v>147</v>
      </c>
      <c r="K10" s="2" t="s">
        <v>255</v>
      </c>
    </row>
    <row r="11" spans="1:11" x14ac:dyDescent="0.25">
      <c r="A11" s="2" t="s">
        <v>256</v>
      </c>
      <c r="B11" s="2"/>
      <c r="C11" s="2"/>
      <c r="D11" s="2"/>
      <c r="E11" s="2"/>
      <c r="F11" s="2"/>
      <c r="G11" s="2"/>
      <c r="H11" s="2"/>
      <c r="I11" s="2"/>
      <c r="J11" s="2" t="s">
        <v>150</v>
      </c>
      <c r="K11" s="2" t="s">
        <v>255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18"/>
  <sheetViews>
    <sheetView workbookViewId="0">
      <pane xSplit="2" ySplit="4" topLeftCell="C5" activePane="bottomRight" state="frozen"/>
      <selection pane="topRight" activeCell="C1" sqref="C1"/>
      <selection pane="bottomLeft" activeCell="A5" sqref="A5"/>
      <selection pane="bottomRight" activeCell="B20" sqref="B20"/>
    </sheetView>
  </sheetViews>
  <sheetFormatPr defaultRowHeight="15" x14ac:dyDescent="0.25"/>
  <cols>
    <col min="1" max="1" width="28" customWidth="1"/>
    <col min="2" max="2" width="48" customWidth="1"/>
    <col min="3" max="3" width="34" customWidth="1"/>
    <col min="4" max="5" width="38" customWidth="1"/>
    <col min="6" max="7" width="43" customWidth="1"/>
  </cols>
  <sheetData>
    <row r="1" spans="1:7" ht="24" customHeight="1" x14ac:dyDescent="0.25">
      <c r="A1" s="127" t="s">
        <v>451</v>
      </c>
      <c r="B1" s="127"/>
      <c r="C1" s="127"/>
      <c r="D1" s="127"/>
      <c r="E1" s="127"/>
      <c r="F1" s="127"/>
      <c r="G1" s="127"/>
    </row>
    <row r="2" spans="1:7" ht="33.950000000000003" customHeight="1" x14ac:dyDescent="0.25">
      <c r="A2" s="128" t="s">
        <v>452</v>
      </c>
      <c r="B2" s="128"/>
      <c r="C2" s="128"/>
      <c r="D2" s="128"/>
      <c r="E2" s="128"/>
      <c r="F2" s="128"/>
      <c r="G2" s="128"/>
    </row>
    <row r="4" spans="1:7" x14ac:dyDescent="0.25">
      <c r="A4" s="7" t="s">
        <v>453</v>
      </c>
      <c r="B4" s="8" t="s">
        <v>454</v>
      </c>
      <c r="C4" s="8" t="s">
        <v>455</v>
      </c>
      <c r="D4" s="8" t="s">
        <v>456</v>
      </c>
      <c r="E4" s="8" t="s">
        <v>457</v>
      </c>
      <c r="F4" s="8" t="s">
        <v>458</v>
      </c>
      <c r="G4" s="9" t="s">
        <v>459</v>
      </c>
    </row>
    <row r="5" spans="1:7" ht="45" x14ac:dyDescent="0.25">
      <c r="A5" s="10" t="s">
        <v>460</v>
      </c>
      <c r="B5" s="11" t="s">
        <v>461</v>
      </c>
      <c r="C5" s="11" t="s">
        <v>462</v>
      </c>
      <c r="D5" s="11" t="s">
        <v>463</v>
      </c>
      <c r="E5" s="11" t="s">
        <v>464</v>
      </c>
      <c r="F5" s="11" t="s">
        <v>465</v>
      </c>
      <c r="G5" s="12" t="s">
        <v>466</v>
      </c>
    </row>
    <row r="6" spans="1:7" ht="45" x14ac:dyDescent="0.25">
      <c r="A6" s="13" t="s">
        <v>460</v>
      </c>
      <c r="B6" s="2" t="s">
        <v>467</v>
      </c>
      <c r="C6" s="2" t="s">
        <v>468</v>
      </c>
      <c r="D6" s="2" t="s">
        <v>469</v>
      </c>
      <c r="E6" s="2" t="s">
        <v>470</v>
      </c>
      <c r="F6" s="2" t="s">
        <v>471</v>
      </c>
      <c r="G6" s="14" t="s">
        <v>472</v>
      </c>
    </row>
    <row r="7" spans="1:7" ht="30" x14ac:dyDescent="0.25">
      <c r="A7" s="13" t="s">
        <v>460</v>
      </c>
      <c r="B7" s="2" t="s">
        <v>473</v>
      </c>
      <c r="C7" s="2" t="s">
        <v>474</v>
      </c>
      <c r="D7" s="2" t="s">
        <v>475</v>
      </c>
      <c r="E7" s="2" t="s">
        <v>476</v>
      </c>
      <c r="F7" s="2" t="s">
        <v>477</v>
      </c>
      <c r="G7" s="14" t="s">
        <v>478</v>
      </c>
    </row>
    <row r="8" spans="1:7" ht="30" x14ac:dyDescent="0.25">
      <c r="A8" s="13" t="s">
        <v>460</v>
      </c>
      <c r="B8" s="2" t="s">
        <v>479</v>
      </c>
      <c r="C8" s="2" t="s">
        <v>480</v>
      </c>
      <c r="D8" s="2" t="s">
        <v>481</v>
      </c>
      <c r="E8" s="2" t="s">
        <v>482</v>
      </c>
      <c r="F8" s="2" t="s">
        <v>483</v>
      </c>
      <c r="G8" s="14" t="s">
        <v>484</v>
      </c>
    </row>
    <row r="9" spans="1:7" ht="30" x14ac:dyDescent="0.25">
      <c r="A9" s="13" t="s">
        <v>485</v>
      </c>
      <c r="B9" s="2" t="s">
        <v>486</v>
      </c>
      <c r="C9" s="2" t="s">
        <v>487</v>
      </c>
      <c r="D9" s="2" t="s">
        <v>488</v>
      </c>
      <c r="E9" s="2" t="s">
        <v>489</v>
      </c>
      <c r="F9" s="2" t="s">
        <v>490</v>
      </c>
      <c r="G9" s="14" t="s">
        <v>491</v>
      </c>
    </row>
    <row r="10" spans="1:7" ht="30" x14ac:dyDescent="0.25">
      <c r="A10" s="13" t="s">
        <v>485</v>
      </c>
      <c r="B10" s="2" t="s">
        <v>492</v>
      </c>
      <c r="C10" s="2" t="s">
        <v>493</v>
      </c>
      <c r="D10" s="2" t="s">
        <v>494</v>
      </c>
      <c r="E10" s="2" t="s">
        <v>495</v>
      </c>
      <c r="F10" s="2" t="s">
        <v>496</v>
      </c>
      <c r="G10" s="14" t="s">
        <v>497</v>
      </c>
    </row>
    <row r="11" spans="1:7" ht="30" x14ac:dyDescent="0.25">
      <c r="A11" s="13" t="s">
        <v>498</v>
      </c>
      <c r="B11" s="2" t="s">
        <v>499</v>
      </c>
      <c r="C11" s="2" t="s">
        <v>500</v>
      </c>
      <c r="D11" s="2" t="s">
        <v>501</v>
      </c>
      <c r="E11" s="2" t="s">
        <v>502</v>
      </c>
      <c r="F11" s="2" t="s">
        <v>503</v>
      </c>
      <c r="G11" s="14" t="s">
        <v>504</v>
      </c>
    </row>
    <row r="12" spans="1:7" ht="30" x14ac:dyDescent="0.25">
      <c r="A12" s="13" t="s">
        <v>498</v>
      </c>
      <c r="B12" s="2" t="s">
        <v>505</v>
      </c>
      <c r="C12" s="2" t="s">
        <v>506</v>
      </c>
      <c r="D12" s="2" t="s">
        <v>507</v>
      </c>
      <c r="E12" s="2" t="s">
        <v>508</v>
      </c>
      <c r="F12" s="2" t="s">
        <v>509</v>
      </c>
      <c r="G12" s="14" t="s">
        <v>510</v>
      </c>
    </row>
    <row r="13" spans="1:7" ht="30" x14ac:dyDescent="0.25">
      <c r="A13" s="13" t="s">
        <v>498</v>
      </c>
      <c r="B13" s="2" t="s">
        <v>511</v>
      </c>
      <c r="C13" s="2" t="s">
        <v>512</v>
      </c>
      <c r="D13" s="2" t="s">
        <v>513</v>
      </c>
      <c r="E13" s="2" t="s">
        <v>514</v>
      </c>
      <c r="F13" s="2" t="s">
        <v>515</v>
      </c>
      <c r="G13" s="14" t="s">
        <v>516</v>
      </c>
    </row>
    <row r="14" spans="1:7" ht="45" x14ac:dyDescent="0.25">
      <c r="A14" s="13" t="s">
        <v>498</v>
      </c>
      <c r="B14" s="2" t="s">
        <v>517</v>
      </c>
      <c r="C14" s="2" t="s">
        <v>518</v>
      </c>
      <c r="D14" s="2" t="s">
        <v>519</v>
      </c>
      <c r="E14" s="2" t="s">
        <v>520</v>
      </c>
      <c r="F14" s="2" t="s">
        <v>521</v>
      </c>
      <c r="G14" s="14" t="s">
        <v>522</v>
      </c>
    </row>
    <row r="15" spans="1:7" ht="30" x14ac:dyDescent="0.25">
      <c r="A15" s="13" t="s">
        <v>498</v>
      </c>
      <c r="B15" s="2" t="s">
        <v>523</v>
      </c>
      <c r="C15" s="2" t="s">
        <v>524</v>
      </c>
      <c r="D15" s="2" t="s">
        <v>525</v>
      </c>
      <c r="E15" s="2" t="s">
        <v>526</v>
      </c>
      <c r="F15" s="2" t="s">
        <v>527</v>
      </c>
      <c r="G15" s="14" t="s">
        <v>528</v>
      </c>
    </row>
    <row r="16" spans="1:7" ht="30" x14ac:dyDescent="0.25">
      <c r="A16" s="13" t="s">
        <v>498</v>
      </c>
      <c r="B16" s="2" t="s">
        <v>529</v>
      </c>
      <c r="C16" s="2" t="s">
        <v>530</v>
      </c>
      <c r="D16" s="2" t="s">
        <v>531</v>
      </c>
      <c r="E16" s="2" t="s">
        <v>532</v>
      </c>
      <c r="F16" s="2" t="s">
        <v>533</v>
      </c>
      <c r="G16" s="14" t="s">
        <v>534</v>
      </c>
    </row>
    <row r="17" spans="1:7" ht="30" x14ac:dyDescent="0.25">
      <c r="A17" s="13" t="s">
        <v>535</v>
      </c>
      <c r="B17" s="2" t="s">
        <v>536</v>
      </c>
      <c r="C17" s="2" t="s">
        <v>537</v>
      </c>
      <c r="D17" s="2" t="s">
        <v>538</v>
      </c>
      <c r="E17" s="2" t="s">
        <v>539</v>
      </c>
      <c r="F17" s="2" t="s">
        <v>540</v>
      </c>
      <c r="G17" s="14" t="s">
        <v>541</v>
      </c>
    </row>
    <row r="18" spans="1:7" ht="45" x14ac:dyDescent="0.25">
      <c r="A18" s="15" t="s">
        <v>542</v>
      </c>
      <c r="B18" s="16" t="s">
        <v>543</v>
      </c>
      <c r="C18" s="16" t="s">
        <v>544</v>
      </c>
      <c r="D18" s="16" t="s">
        <v>545</v>
      </c>
      <c r="E18" s="16" t="s">
        <v>546</v>
      </c>
      <c r="F18" s="16" t="s">
        <v>547</v>
      </c>
      <c r="G18" s="17" t="s">
        <v>548</v>
      </c>
    </row>
  </sheetData>
  <mergeCells count="2">
    <mergeCell ref="A1:G1"/>
    <mergeCell ref="A2:G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07D-B0FD-4CA6-BA04-88E1D6001EBC}">
  <sheetPr>
    <tabColor theme="1"/>
  </sheetPr>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F18"/>
  <sheetViews>
    <sheetView workbookViewId="0">
      <selection activeCell="F21" sqref="F21"/>
    </sheetView>
  </sheetViews>
  <sheetFormatPr defaultRowHeight="15" x14ac:dyDescent="0.25"/>
  <cols>
    <col min="1" max="1" width="18" customWidth="1"/>
    <col min="2" max="2" width="28" customWidth="1"/>
    <col min="3" max="3" width="30" customWidth="1"/>
    <col min="4" max="4" width="28" customWidth="1"/>
    <col min="5" max="5" width="27" customWidth="1"/>
    <col min="6" max="6" width="42" customWidth="1"/>
  </cols>
  <sheetData>
    <row r="1" spans="1:6" ht="32.1" customHeight="1" x14ac:dyDescent="0.25">
      <c r="A1" s="3" t="s">
        <v>0</v>
      </c>
      <c r="B1" s="3" t="s">
        <v>1</v>
      </c>
      <c r="C1" s="3" t="s">
        <v>2</v>
      </c>
      <c r="D1" s="3" t="s">
        <v>3</v>
      </c>
      <c r="E1" s="3" t="s">
        <v>4</v>
      </c>
      <c r="F1" s="3" t="s">
        <v>5</v>
      </c>
    </row>
    <row r="2" spans="1:6" x14ac:dyDescent="0.25">
      <c r="A2" s="2" t="s">
        <v>6</v>
      </c>
      <c r="B2" s="2" t="s">
        <v>7</v>
      </c>
      <c r="C2" s="2" t="s">
        <v>7</v>
      </c>
      <c r="D2" s="2" t="s">
        <v>7</v>
      </c>
      <c r="E2" s="2" t="s">
        <v>7</v>
      </c>
      <c r="F2" s="2" t="s">
        <v>8</v>
      </c>
    </row>
    <row r="3" spans="1:6" ht="30" x14ac:dyDescent="0.25">
      <c r="A3" s="2" t="s">
        <v>9</v>
      </c>
      <c r="B3" s="2" t="s">
        <v>9</v>
      </c>
      <c r="C3" s="2" t="s">
        <v>9</v>
      </c>
      <c r="D3" s="2" t="s">
        <v>9</v>
      </c>
      <c r="E3" s="2" t="s">
        <v>10</v>
      </c>
      <c r="F3" s="2" t="s">
        <v>11</v>
      </c>
    </row>
    <row r="4" spans="1:6" x14ac:dyDescent="0.25">
      <c r="A4" s="2" t="s">
        <v>12</v>
      </c>
      <c r="B4" s="2" t="s">
        <v>13</v>
      </c>
      <c r="C4" s="2" t="s">
        <v>13</v>
      </c>
      <c r="D4" s="2" t="s">
        <v>13</v>
      </c>
      <c r="E4" s="2" t="s">
        <v>13</v>
      </c>
      <c r="F4" s="2" t="s">
        <v>14</v>
      </c>
    </row>
    <row r="5" spans="1:6" x14ac:dyDescent="0.25">
      <c r="A5" s="2" t="s">
        <v>15</v>
      </c>
      <c r="B5" s="2" t="s">
        <v>16</v>
      </c>
      <c r="C5" s="2" t="s">
        <v>16</v>
      </c>
      <c r="D5" s="2" t="s">
        <v>16</v>
      </c>
      <c r="E5" s="2" t="s">
        <v>17</v>
      </c>
      <c r="F5" s="2" t="s">
        <v>18</v>
      </c>
    </row>
    <row r="6" spans="1:6" ht="30" x14ac:dyDescent="0.25">
      <c r="A6" s="2" t="s">
        <v>19</v>
      </c>
      <c r="B6" s="2" t="s">
        <v>20</v>
      </c>
      <c r="C6" s="2" t="s">
        <v>20</v>
      </c>
      <c r="D6" s="2" t="s">
        <v>20</v>
      </c>
      <c r="E6" s="2" t="s">
        <v>21</v>
      </c>
      <c r="F6" s="2" t="s">
        <v>22</v>
      </c>
    </row>
    <row r="7" spans="1:6" ht="45" x14ac:dyDescent="0.25">
      <c r="A7" s="2" t="s">
        <v>23</v>
      </c>
      <c r="B7" s="2" t="s">
        <v>24</v>
      </c>
      <c r="C7" s="2" t="s">
        <v>24</v>
      </c>
      <c r="D7" s="2" t="s">
        <v>24</v>
      </c>
      <c r="E7" s="2" t="s">
        <v>21</v>
      </c>
      <c r="F7" s="2" t="s">
        <v>25</v>
      </c>
    </row>
    <row r="8" spans="1:6" ht="30" x14ac:dyDescent="0.25">
      <c r="A8" s="2" t="s">
        <v>26</v>
      </c>
      <c r="B8" s="2" t="s">
        <v>27</v>
      </c>
      <c r="C8" s="2" t="s">
        <v>28</v>
      </c>
      <c r="D8" s="2" t="s">
        <v>29</v>
      </c>
      <c r="E8" s="2" t="s">
        <v>30</v>
      </c>
      <c r="F8" s="2" t="s">
        <v>31</v>
      </c>
    </row>
    <row r="9" spans="1:6" ht="30" x14ac:dyDescent="0.25">
      <c r="A9" s="2" t="s">
        <v>32</v>
      </c>
      <c r="B9" s="2" t="s">
        <v>32</v>
      </c>
      <c r="C9" s="2" t="s">
        <v>32</v>
      </c>
      <c r="D9" s="6" t="s">
        <v>33</v>
      </c>
      <c r="E9" s="6" t="s">
        <v>34</v>
      </c>
      <c r="F9" s="6" t="s">
        <v>35</v>
      </c>
    </row>
    <row r="10" spans="1:6" ht="30" x14ac:dyDescent="0.25">
      <c r="A10" s="2" t="s">
        <v>36</v>
      </c>
      <c r="B10" s="2" t="s">
        <v>37</v>
      </c>
      <c r="C10" s="2" t="s">
        <v>38</v>
      </c>
      <c r="D10" s="2" t="s">
        <v>39</v>
      </c>
      <c r="E10" s="2" t="s">
        <v>40</v>
      </c>
      <c r="F10" s="2" t="s">
        <v>41</v>
      </c>
    </row>
    <row r="11" spans="1:6" ht="30" x14ac:dyDescent="0.25">
      <c r="A11" s="2" t="s">
        <v>42</v>
      </c>
      <c r="B11" s="2" t="s">
        <v>43</v>
      </c>
      <c r="C11" s="2" t="s">
        <v>44</v>
      </c>
      <c r="D11" s="2" t="s">
        <v>39</v>
      </c>
      <c r="E11" s="2" t="s">
        <v>45</v>
      </c>
      <c r="F11" s="2" t="s">
        <v>46</v>
      </c>
    </row>
    <row r="12" spans="1:6" x14ac:dyDescent="0.25">
      <c r="A12" s="2" t="s">
        <v>47</v>
      </c>
      <c r="B12" s="2" t="s">
        <v>47</v>
      </c>
      <c r="C12" s="2" t="s">
        <v>47</v>
      </c>
      <c r="D12" s="2" t="s">
        <v>48</v>
      </c>
      <c r="E12" s="2" t="s">
        <v>49</v>
      </c>
      <c r="F12" s="2"/>
    </row>
    <row r="13" spans="1:6" x14ac:dyDescent="0.25">
      <c r="A13" s="2" t="s">
        <v>50</v>
      </c>
      <c r="B13" s="2" t="s">
        <v>48</v>
      </c>
      <c r="C13" s="2" t="s">
        <v>51</v>
      </c>
      <c r="D13" s="2" t="s">
        <v>51</v>
      </c>
      <c r="E13" s="2" t="s">
        <v>52</v>
      </c>
      <c r="F13" s="2"/>
    </row>
    <row r="14" spans="1:6" x14ac:dyDescent="0.25">
      <c r="A14" s="2" t="s">
        <v>53</v>
      </c>
      <c r="B14" s="2" t="s">
        <v>53</v>
      </c>
      <c r="C14" s="2" t="s">
        <v>53</v>
      </c>
      <c r="D14" s="2" t="s">
        <v>53</v>
      </c>
      <c r="E14" s="2" t="s">
        <v>53</v>
      </c>
      <c r="F14" s="2"/>
    </row>
    <row r="15" spans="1:6" x14ac:dyDescent="0.25">
      <c r="A15" s="2" t="s">
        <v>54</v>
      </c>
      <c r="B15" s="2" t="s">
        <v>55</v>
      </c>
      <c r="C15" s="2" t="s">
        <v>55</v>
      </c>
      <c r="D15" s="2" t="s">
        <v>55</v>
      </c>
      <c r="E15" s="2" t="s">
        <v>48</v>
      </c>
      <c r="F15" s="2"/>
    </row>
    <row r="16" spans="1:6" x14ac:dyDescent="0.25">
      <c r="A16" s="2" t="s">
        <v>56</v>
      </c>
      <c r="B16" s="2" t="s">
        <v>57</v>
      </c>
      <c r="C16" s="2" t="s">
        <v>58</v>
      </c>
      <c r="D16" s="2" t="s">
        <v>59</v>
      </c>
      <c r="E16" s="2" t="s">
        <v>48</v>
      </c>
      <c r="F16" s="2" t="s">
        <v>60</v>
      </c>
    </row>
    <row r="17" spans="1:6" x14ac:dyDescent="0.25">
      <c r="A17" s="2" t="s">
        <v>61</v>
      </c>
      <c r="B17" s="2" t="s">
        <v>62</v>
      </c>
      <c r="C17" s="2" t="s">
        <v>48</v>
      </c>
      <c r="D17" s="2" t="s">
        <v>48</v>
      </c>
      <c r="E17" s="2" t="s">
        <v>48</v>
      </c>
      <c r="F17" s="2" t="s">
        <v>63</v>
      </c>
    </row>
    <row r="18" spans="1:6" x14ac:dyDescent="0.25">
      <c r="A18" s="2" t="s">
        <v>64</v>
      </c>
      <c r="B18" s="2" t="s">
        <v>65</v>
      </c>
      <c r="C18" s="2" t="s">
        <v>65</v>
      </c>
      <c r="D18" s="2" t="s">
        <v>65</v>
      </c>
      <c r="E18" s="2" t="s">
        <v>48</v>
      </c>
      <c r="F18" s="2" t="s">
        <v>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sheetPr>
  <dimension ref="A1:B33"/>
  <sheetViews>
    <sheetView workbookViewId="0">
      <selection sqref="A1:H1"/>
    </sheetView>
  </sheetViews>
  <sheetFormatPr defaultRowHeight="15" x14ac:dyDescent="0.25"/>
  <cols>
    <col min="1" max="1" width="32" customWidth="1"/>
    <col min="2" max="2" width="68" customWidth="1"/>
  </cols>
  <sheetData>
    <row r="1" spans="1:2" ht="32.1" customHeight="1" x14ac:dyDescent="0.25">
      <c r="A1" s="3" t="s">
        <v>158</v>
      </c>
      <c r="B1" s="3" t="s">
        <v>159</v>
      </c>
    </row>
    <row r="2" spans="1:2" x14ac:dyDescent="0.25">
      <c r="A2" s="2" t="s">
        <v>160</v>
      </c>
      <c r="B2" s="2" t="s">
        <v>161</v>
      </c>
    </row>
    <row r="3" spans="1:2" x14ac:dyDescent="0.25">
      <c r="A3" s="2" t="s">
        <v>162</v>
      </c>
      <c r="B3" s="2" t="s">
        <v>163</v>
      </c>
    </row>
    <row r="4" spans="1:2" x14ac:dyDescent="0.25">
      <c r="A4" s="2" t="s">
        <v>164</v>
      </c>
      <c r="B4" s="2" t="s">
        <v>165</v>
      </c>
    </row>
    <row r="5" spans="1:2" ht="30" x14ac:dyDescent="0.25">
      <c r="A5" s="2" t="s">
        <v>166</v>
      </c>
      <c r="B5" s="2" t="s">
        <v>167</v>
      </c>
    </row>
    <row r="6" spans="1:2" x14ac:dyDescent="0.25">
      <c r="A6" s="2" t="s">
        <v>168</v>
      </c>
      <c r="B6" s="2" t="s">
        <v>169</v>
      </c>
    </row>
    <row r="7" spans="1:2" x14ac:dyDescent="0.25">
      <c r="A7" s="2" t="s">
        <v>170</v>
      </c>
      <c r="B7" s="2" t="s">
        <v>171</v>
      </c>
    </row>
    <row r="8" spans="1:2" x14ac:dyDescent="0.25">
      <c r="A8" s="2" t="s">
        <v>172</v>
      </c>
      <c r="B8" s="2" t="s">
        <v>173</v>
      </c>
    </row>
    <row r="9" spans="1:2" x14ac:dyDescent="0.25">
      <c r="A9" s="2" t="s">
        <v>174</v>
      </c>
      <c r="B9" s="2" t="s">
        <v>175</v>
      </c>
    </row>
    <row r="10" spans="1:2" x14ac:dyDescent="0.25">
      <c r="A10" s="2" t="s">
        <v>176</v>
      </c>
      <c r="B10" s="2" t="s">
        <v>177</v>
      </c>
    </row>
    <row r="11" spans="1:2" x14ac:dyDescent="0.25">
      <c r="A11" s="2" t="s">
        <v>178</v>
      </c>
      <c r="B11" s="2" t="s">
        <v>179</v>
      </c>
    </row>
    <row r="12" spans="1:2" x14ac:dyDescent="0.25">
      <c r="A12" s="2" t="s">
        <v>180</v>
      </c>
      <c r="B12" s="2" t="s">
        <v>181</v>
      </c>
    </row>
    <row r="13" spans="1:2" x14ac:dyDescent="0.25">
      <c r="A13" s="2" t="s">
        <v>182</v>
      </c>
      <c r="B13" s="2" t="s">
        <v>183</v>
      </c>
    </row>
    <row r="14" spans="1:2" x14ac:dyDescent="0.25">
      <c r="A14" s="2" t="s">
        <v>184</v>
      </c>
      <c r="B14" s="2" t="s">
        <v>185</v>
      </c>
    </row>
    <row r="15" spans="1:2" x14ac:dyDescent="0.25">
      <c r="A15" s="2" t="s">
        <v>186</v>
      </c>
      <c r="B15" s="2" t="s">
        <v>187</v>
      </c>
    </row>
    <row r="16" spans="1:2" x14ac:dyDescent="0.25">
      <c r="A16" s="2" t="s">
        <v>188</v>
      </c>
      <c r="B16" s="2" t="s">
        <v>189</v>
      </c>
    </row>
    <row r="17" spans="1:2" x14ac:dyDescent="0.25">
      <c r="A17" s="2" t="s">
        <v>190</v>
      </c>
      <c r="B17" s="2" t="s">
        <v>191</v>
      </c>
    </row>
    <row r="18" spans="1:2" x14ac:dyDescent="0.25">
      <c r="A18" s="2" t="s">
        <v>192</v>
      </c>
      <c r="B18" s="2" t="s">
        <v>193</v>
      </c>
    </row>
    <row r="19" spans="1:2" x14ac:dyDescent="0.25">
      <c r="A19" s="2" t="s">
        <v>194</v>
      </c>
      <c r="B19" s="2" t="s">
        <v>195</v>
      </c>
    </row>
    <row r="20" spans="1:2" x14ac:dyDescent="0.25">
      <c r="A20" s="2" t="s">
        <v>196</v>
      </c>
      <c r="B20" s="2" t="s">
        <v>197</v>
      </c>
    </row>
    <row r="21" spans="1:2" x14ac:dyDescent="0.25">
      <c r="A21" s="2" t="s">
        <v>198</v>
      </c>
      <c r="B21" s="2" t="s">
        <v>199</v>
      </c>
    </row>
    <row r="22" spans="1:2" x14ac:dyDescent="0.25">
      <c r="A22" s="2" t="s">
        <v>200</v>
      </c>
      <c r="B22" s="2" t="s">
        <v>201</v>
      </c>
    </row>
    <row r="23" spans="1:2" x14ac:dyDescent="0.25">
      <c r="A23" s="2" t="s">
        <v>202</v>
      </c>
      <c r="B23" s="2" t="s">
        <v>203</v>
      </c>
    </row>
    <row r="24" spans="1:2" x14ac:dyDescent="0.25">
      <c r="A24" s="2" t="s">
        <v>204</v>
      </c>
      <c r="B24" s="2" t="s">
        <v>205</v>
      </c>
    </row>
    <row r="25" spans="1:2" x14ac:dyDescent="0.25">
      <c r="A25" s="2" t="s">
        <v>206</v>
      </c>
      <c r="B25" s="2" t="s">
        <v>207</v>
      </c>
    </row>
    <row r="26" spans="1:2" x14ac:dyDescent="0.25">
      <c r="A26" s="2" t="s">
        <v>208</v>
      </c>
      <c r="B26" s="2" t="s">
        <v>209</v>
      </c>
    </row>
    <row r="27" spans="1:2" x14ac:dyDescent="0.25">
      <c r="A27" s="2" t="s">
        <v>210</v>
      </c>
      <c r="B27" s="2" t="s">
        <v>211</v>
      </c>
    </row>
    <row r="28" spans="1:2" x14ac:dyDescent="0.25">
      <c r="A28" s="2" t="s">
        <v>212</v>
      </c>
      <c r="B28" s="2" t="s">
        <v>213</v>
      </c>
    </row>
    <row r="29" spans="1:2" x14ac:dyDescent="0.25">
      <c r="A29" s="2" t="s">
        <v>214</v>
      </c>
      <c r="B29" s="2" t="s">
        <v>215</v>
      </c>
    </row>
    <row r="30" spans="1:2" x14ac:dyDescent="0.25">
      <c r="A30" s="2" t="s">
        <v>216</v>
      </c>
      <c r="B30" s="2" t="s">
        <v>217</v>
      </c>
    </row>
    <row r="31" spans="1:2" x14ac:dyDescent="0.25">
      <c r="A31" s="2" t="s">
        <v>218</v>
      </c>
      <c r="B31" s="2" t="s">
        <v>219</v>
      </c>
    </row>
    <row r="32" spans="1:2" x14ac:dyDescent="0.25">
      <c r="A32" s="2" t="s">
        <v>220</v>
      </c>
      <c r="B32" s="2" t="s">
        <v>221</v>
      </c>
    </row>
    <row r="33" spans="1:2" x14ac:dyDescent="0.25">
      <c r="A33" s="2" t="s">
        <v>222</v>
      </c>
      <c r="B33" s="2" t="s">
        <v>223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sheetPr>
  <dimension ref="A1:B11"/>
  <sheetViews>
    <sheetView workbookViewId="0">
      <selection sqref="A1:H1"/>
    </sheetView>
  </sheetViews>
  <sheetFormatPr defaultRowHeight="15" x14ac:dyDescent="0.25"/>
  <cols>
    <col min="1" max="1" width="26" customWidth="1"/>
    <col min="2" max="2" width="85" customWidth="1"/>
  </cols>
  <sheetData>
    <row r="1" spans="1:2" ht="32.1" customHeight="1" x14ac:dyDescent="0.25">
      <c r="A1" s="4" t="s">
        <v>257</v>
      </c>
      <c r="B1" s="4" t="s">
        <v>258</v>
      </c>
    </row>
    <row r="2" spans="1:2" ht="30" x14ac:dyDescent="0.25">
      <c r="A2" s="2" t="s">
        <v>259</v>
      </c>
      <c r="B2" s="2" t="s">
        <v>260</v>
      </c>
    </row>
    <row r="3" spans="1:2" x14ac:dyDescent="0.25">
      <c r="A3" s="2" t="s">
        <v>261</v>
      </c>
      <c r="B3" s="2" t="s">
        <v>262</v>
      </c>
    </row>
    <row r="4" spans="1:2" ht="30" x14ac:dyDescent="0.25">
      <c r="A4" s="2" t="s">
        <v>263</v>
      </c>
      <c r="B4" s="2" t="s">
        <v>264</v>
      </c>
    </row>
    <row r="5" spans="1:2" x14ac:dyDescent="0.25">
      <c r="A5" s="2" t="s">
        <v>265</v>
      </c>
      <c r="B5" s="2" t="s">
        <v>266</v>
      </c>
    </row>
    <row r="6" spans="1:2" x14ac:dyDescent="0.25">
      <c r="A6" s="2" t="s">
        <v>267</v>
      </c>
      <c r="B6" s="2" t="s">
        <v>268</v>
      </c>
    </row>
    <row r="7" spans="1:2" ht="30" x14ac:dyDescent="0.25">
      <c r="A7" s="2" t="s">
        <v>269</v>
      </c>
      <c r="B7" s="2" t="s">
        <v>270</v>
      </c>
    </row>
    <row r="8" spans="1:2" ht="30" x14ac:dyDescent="0.25">
      <c r="A8" s="2" t="s">
        <v>271</v>
      </c>
      <c r="B8" s="2" t="s">
        <v>272</v>
      </c>
    </row>
    <row r="9" spans="1:2" ht="30" x14ac:dyDescent="0.25">
      <c r="A9" s="6" t="s">
        <v>273</v>
      </c>
      <c r="B9" s="6" t="s">
        <v>274</v>
      </c>
    </row>
    <row r="10" spans="1:2" ht="30" x14ac:dyDescent="0.25">
      <c r="A10" s="2" t="s">
        <v>275</v>
      </c>
      <c r="B10" s="2" t="s">
        <v>276</v>
      </c>
    </row>
    <row r="11" spans="1:2" ht="30" x14ac:dyDescent="0.25">
      <c r="A11" s="2" t="s">
        <v>277</v>
      </c>
      <c r="B11" s="2" t="s">
        <v>278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sheetPr>
  <dimension ref="A1:F24"/>
  <sheetViews>
    <sheetView topLeftCell="A20" workbookViewId="0">
      <selection activeCell="D47" sqref="D47"/>
    </sheetView>
  </sheetViews>
  <sheetFormatPr defaultRowHeight="15" x14ac:dyDescent="0.25"/>
  <cols>
    <col min="1" max="1" width="23" customWidth="1"/>
    <col min="2" max="2" width="44" customWidth="1"/>
    <col min="3" max="3" width="42" customWidth="1"/>
    <col min="4" max="4" width="27" customWidth="1"/>
    <col min="5" max="5" width="26" customWidth="1"/>
    <col min="6" max="6" width="42" customWidth="1"/>
  </cols>
  <sheetData>
    <row r="1" spans="1:6" ht="24" customHeight="1" x14ac:dyDescent="0.25">
      <c r="A1" s="127" t="s">
        <v>343</v>
      </c>
      <c r="B1" s="127"/>
      <c r="C1" s="127"/>
      <c r="D1" s="127"/>
      <c r="E1" s="127"/>
      <c r="F1" s="127"/>
    </row>
    <row r="2" spans="1:6" ht="33.950000000000003" customHeight="1" x14ac:dyDescent="0.25">
      <c r="A2" s="128" t="s">
        <v>344</v>
      </c>
      <c r="B2" s="128"/>
      <c r="C2" s="128"/>
      <c r="D2" s="128"/>
      <c r="E2" s="128"/>
      <c r="F2" s="128"/>
    </row>
    <row r="4" spans="1:6" x14ac:dyDescent="0.25">
      <c r="A4" s="7" t="s">
        <v>345</v>
      </c>
      <c r="B4" s="8" t="s">
        <v>346</v>
      </c>
      <c r="C4" s="8" t="s">
        <v>347</v>
      </c>
      <c r="D4" s="8" t="s">
        <v>348</v>
      </c>
      <c r="E4" s="8" t="s">
        <v>349</v>
      </c>
      <c r="F4" s="9" t="s">
        <v>350</v>
      </c>
    </row>
    <row r="5" spans="1:6" ht="45" x14ac:dyDescent="0.25">
      <c r="A5" s="10" t="s">
        <v>351</v>
      </c>
      <c r="B5" s="11" t="s">
        <v>352</v>
      </c>
      <c r="C5" s="11" t="s">
        <v>353</v>
      </c>
      <c r="D5" s="11" t="s">
        <v>354</v>
      </c>
      <c r="E5" s="11" t="s">
        <v>355</v>
      </c>
      <c r="F5" s="12" t="s">
        <v>356</v>
      </c>
    </row>
    <row r="6" spans="1:6" ht="45" x14ac:dyDescent="0.25">
      <c r="A6" s="13" t="s">
        <v>73</v>
      </c>
      <c r="B6" s="2" t="s">
        <v>357</v>
      </c>
      <c r="C6" s="2" t="s">
        <v>358</v>
      </c>
      <c r="D6" s="2" t="s">
        <v>359</v>
      </c>
      <c r="E6" s="2" t="s">
        <v>360</v>
      </c>
      <c r="F6" s="14" t="s">
        <v>361</v>
      </c>
    </row>
    <row r="7" spans="1:6" ht="45" x14ac:dyDescent="0.25">
      <c r="A7" s="13" t="s">
        <v>362</v>
      </c>
      <c r="B7" s="2" t="s">
        <v>363</v>
      </c>
      <c r="C7" s="2" t="s">
        <v>364</v>
      </c>
      <c r="D7" s="2" t="s">
        <v>365</v>
      </c>
      <c r="E7" s="2" t="s">
        <v>360</v>
      </c>
      <c r="F7" s="14" t="s">
        <v>366</v>
      </c>
    </row>
    <row r="8" spans="1:6" ht="30" x14ac:dyDescent="0.25">
      <c r="A8" s="13" t="s">
        <v>85</v>
      </c>
      <c r="B8" s="2" t="s">
        <v>367</v>
      </c>
      <c r="C8" s="2" t="s">
        <v>368</v>
      </c>
      <c r="D8" s="2" t="s">
        <v>369</v>
      </c>
      <c r="E8" s="2" t="s">
        <v>370</v>
      </c>
      <c r="F8" s="14" t="s">
        <v>371</v>
      </c>
    </row>
    <row r="9" spans="1:6" ht="45" x14ac:dyDescent="0.25">
      <c r="A9" s="13" t="s">
        <v>372</v>
      </c>
      <c r="B9" s="2" t="s">
        <v>373</v>
      </c>
      <c r="C9" s="2" t="s">
        <v>374</v>
      </c>
      <c r="D9" s="2" t="s">
        <v>375</v>
      </c>
      <c r="E9" s="2" t="s">
        <v>376</v>
      </c>
      <c r="F9" s="14" t="s">
        <v>377</v>
      </c>
    </row>
    <row r="10" spans="1:6" ht="45" x14ac:dyDescent="0.25">
      <c r="A10" s="13" t="s">
        <v>302</v>
      </c>
      <c r="B10" s="2" t="s">
        <v>378</v>
      </c>
      <c r="C10" s="2" t="s">
        <v>379</v>
      </c>
      <c r="D10" s="2" t="s">
        <v>380</v>
      </c>
      <c r="E10" s="2" t="s">
        <v>381</v>
      </c>
      <c r="F10" s="14" t="s">
        <v>382</v>
      </c>
    </row>
    <row r="11" spans="1:6" ht="45" x14ac:dyDescent="0.25">
      <c r="A11" s="13" t="s">
        <v>383</v>
      </c>
      <c r="B11" s="2" t="s">
        <v>384</v>
      </c>
      <c r="C11" s="2" t="s">
        <v>385</v>
      </c>
      <c r="D11" s="2" t="s">
        <v>386</v>
      </c>
      <c r="E11" s="2" t="s">
        <v>387</v>
      </c>
      <c r="F11" s="14" t="s">
        <v>388</v>
      </c>
    </row>
    <row r="12" spans="1:6" ht="45" x14ac:dyDescent="0.25">
      <c r="A12" s="13" t="s">
        <v>389</v>
      </c>
      <c r="B12" s="2" t="s">
        <v>390</v>
      </c>
      <c r="C12" s="2" t="s">
        <v>391</v>
      </c>
      <c r="D12" s="2" t="s">
        <v>386</v>
      </c>
      <c r="E12" s="2" t="s">
        <v>392</v>
      </c>
      <c r="F12" s="14" t="s">
        <v>393</v>
      </c>
    </row>
    <row r="13" spans="1:6" ht="30" x14ac:dyDescent="0.25">
      <c r="A13" s="13" t="s">
        <v>394</v>
      </c>
      <c r="B13" s="2" t="s">
        <v>395</v>
      </c>
      <c r="C13" s="2" t="s">
        <v>396</v>
      </c>
      <c r="D13" s="2" t="s">
        <v>386</v>
      </c>
      <c r="E13" s="2" t="s">
        <v>387</v>
      </c>
      <c r="F13" s="14" t="s">
        <v>397</v>
      </c>
    </row>
    <row r="14" spans="1:6" ht="45" x14ac:dyDescent="0.25">
      <c r="A14" s="13" t="s">
        <v>36</v>
      </c>
      <c r="B14" s="2" t="s">
        <v>398</v>
      </c>
      <c r="C14" s="2" t="s">
        <v>399</v>
      </c>
      <c r="D14" s="2" t="s">
        <v>380</v>
      </c>
      <c r="E14" s="2" t="s">
        <v>400</v>
      </c>
      <c r="F14" s="14" t="s">
        <v>401</v>
      </c>
    </row>
    <row r="15" spans="1:6" ht="30" x14ac:dyDescent="0.25">
      <c r="A15" s="13" t="s">
        <v>40</v>
      </c>
      <c r="B15" s="2" t="s">
        <v>402</v>
      </c>
      <c r="C15" s="2" t="s">
        <v>403</v>
      </c>
      <c r="D15" s="2" t="s">
        <v>313</v>
      </c>
      <c r="E15" s="2" t="s">
        <v>360</v>
      </c>
      <c r="F15" s="14" t="s">
        <v>404</v>
      </c>
    </row>
    <row r="16" spans="1:6" ht="30" x14ac:dyDescent="0.25">
      <c r="A16" s="13" t="s">
        <v>405</v>
      </c>
      <c r="B16" s="2" t="s">
        <v>406</v>
      </c>
      <c r="C16" s="2" t="s">
        <v>407</v>
      </c>
      <c r="D16" s="2" t="s">
        <v>387</v>
      </c>
      <c r="E16" s="2" t="s">
        <v>408</v>
      </c>
      <c r="F16" s="14" t="s">
        <v>409</v>
      </c>
    </row>
    <row r="17" spans="1:6" ht="45" x14ac:dyDescent="0.25">
      <c r="A17" s="13" t="s">
        <v>24</v>
      </c>
      <c r="B17" s="2" t="s">
        <v>410</v>
      </c>
      <c r="C17" s="2" t="s">
        <v>411</v>
      </c>
      <c r="D17" s="2" t="s">
        <v>412</v>
      </c>
      <c r="E17" s="2" t="s">
        <v>413</v>
      </c>
      <c r="F17" s="14" t="s">
        <v>414</v>
      </c>
    </row>
    <row r="18" spans="1:6" ht="45" x14ac:dyDescent="0.25">
      <c r="A18" s="13" t="s">
        <v>317</v>
      </c>
      <c r="B18" s="2" t="s">
        <v>415</v>
      </c>
      <c r="C18" s="2" t="s">
        <v>416</v>
      </c>
      <c r="D18" s="2" t="s">
        <v>417</v>
      </c>
      <c r="E18" s="2" t="s">
        <v>418</v>
      </c>
      <c r="F18" s="14" t="s">
        <v>419</v>
      </c>
    </row>
    <row r="19" spans="1:6" ht="30" x14ac:dyDescent="0.25">
      <c r="A19" s="13" t="s">
        <v>322</v>
      </c>
      <c r="B19" s="2" t="s">
        <v>420</v>
      </c>
      <c r="C19" s="2" t="s">
        <v>421</v>
      </c>
      <c r="D19" s="2" t="s">
        <v>387</v>
      </c>
      <c r="E19" s="2" t="s">
        <v>422</v>
      </c>
      <c r="F19" s="14" t="s">
        <v>423</v>
      </c>
    </row>
    <row r="20" spans="1:6" ht="60" x14ac:dyDescent="0.25">
      <c r="A20" s="13" t="s">
        <v>424</v>
      </c>
      <c r="B20" s="2" t="s">
        <v>425</v>
      </c>
      <c r="C20" s="2" t="s">
        <v>426</v>
      </c>
      <c r="D20" s="2" t="s">
        <v>387</v>
      </c>
      <c r="E20" s="2" t="s">
        <v>427</v>
      </c>
      <c r="F20" s="14" t="s">
        <v>428</v>
      </c>
    </row>
    <row r="21" spans="1:6" ht="30" x14ac:dyDescent="0.25">
      <c r="A21" s="13" t="s">
        <v>429</v>
      </c>
      <c r="B21" s="2" t="s">
        <v>430</v>
      </c>
      <c r="C21" s="2" t="s">
        <v>431</v>
      </c>
      <c r="D21" s="2" t="s">
        <v>432</v>
      </c>
      <c r="E21" s="2" t="s">
        <v>433</v>
      </c>
      <c r="F21" s="14" t="s">
        <v>434</v>
      </c>
    </row>
    <row r="22" spans="1:6" ht="45" x14ac:dyDescent="0.25">
      <c r="A22" s="13" t="s">
        <v>435</v>
      </c>
      <c r="B22" s="2" t="s">
        <v>436</v>
      </c>
      <c r="C22" s="2" t="s">
        <v>437</v>
      </c>
      <c r="D22" s="2" t="s">
        <v>387</v>
      </c>
      <c r="E22" s="2" t="s">
        <v>438</v>
      </c>
      <c r="F22" s="14" t="s">
        <v>439</v>
      </c>
    </row>
    <row r="23" spans="1:6" ht="30" x14ac:dyDescent="0.25">
      <c r="A23" s="13" t="s">
        <v>440</v>
      </c>
      <c r="B23" s="2" t="s">
        <v>441</v>
      </c>
      <c r="C23" s="2" t="s">
        <v>442</v>
      </c>
      <c r="D23" s="2" t="s">
        <v>387</v>
      </c>
      <c r="E23" s="2" t="s">
        <v>443</v>
      </c>
      <c r="F23" s="14" t="s">
        <v>444</v>
      </c>
    </row>
    <row r="24" spans="1:6" ht="30" x14ac:dyDescent="0.25">
      <c r="A24" s="15" t="s">
        <v>445</v>
      </c>
      <c r="B24" s="16" t="s">
        <v>446</v>
      </c>
      <c r="C24" s="16" t="s">
        <v>447</v>
      </c>
      <c r="D24" s="16" t="s">
        <v>448</v>
      </c>
      <c r="E24" s="16" t="s">
        <v>449</v>
      </c>
      <c r="F24" s="17" t="s">
        <v>450</v>
      </c>
    </row>
  </sheetData>
  <mergeCells count="2">
    <mergeCell ref="A1:F1"/>
    <mergeCell ref="A2:F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sheetPr>
  <dimension ref="A1:H24"/>
  <sheetViews>
    <sheetView workbookViewId="0">
      <selection sqref="A1:H1"/>
    </sheetView>
  </sheetViews>
  <sheetFormatPr defaultRowHeight="15" x14ac:dyDescent="0.25"/>
  <cols>
    <col min="1" max="1" width="12" customWidth="1"/>
    <col min="2" max="2" width="22" customWidth="1"/>
    <col min="3" max="3" width="48" customWidth="1"/>
    <col min="4" max="4" width="23" customWidth="1"/>
    <col min="5" max="5" width="16" customWidth="1"/>
    <col min="6" max="7" width="42" customWidth="1"/>
    <col min="8" max="8" width="38" customWidth="1"/>
  </cols>
  <sheetData>
    <row r="1" spans="1:8" ht="24" customHeight="1" x14ac:dyDescent="0.25">
      <c r="A1" s="127" t="s">
        <v>549</v>
      </c>
      <c r="B1" s="127"/>
      <c r="C1" s="127"/>
      <c r="D1" s="127"/>
      <c r="E1" s="127"/>
      <c r="F1" s="127"/>
      <c r="G1" s="127"/>
      <c r="H1" s="127"/>
    </row>
    <row r="2" spans="1:8" ht="33.950000000000003" customHeight="1" x14ac:dyDescent="0.25">
      <c r="A2" s="128" t="s">
        <v>550</v>
      </c>
      <c r="B2" s="128"/>
      <c r="C2" s="128"/>
      <c r="D2" s="128"/>
      <c r="E2" s="128"/>
      <c r="F2" s="128"/>
      <c r="G2" s="128"/>
      <c r="H2" s="128"/>
    </row>
    <row r="4" spans="1:8" x14ac:dyDescent="0.25">
      <c r="A4" s="7" t="s">
        <v>551</v>
      </c>
      <c r="B4" s="8" t="s">
        <v>552</v>
      </c>
      <c r="C4" s="8" t="s">
        <v>553</v>
      </c>
      <c r="D4" s="8" t="s">
        <v>96</v>
      </c>
      <c r="E4" s="8" t="s">
        <v>554</v>
      </c>
      <c r="F4" s="8" t="s">
        <v>555</v>
      </c>
      <c r="G4" s="8" t="s">
        <v>556</v>
      </c>
      <c r="H4" s="9" t="s">
        <v>557</v>
      </c>
    </row>
    <row r="5" spans="1:8" ht="30" x14ac:dyDescent="0.25">
      <c r="A5" s="10" t="s">
        <v>558</v>
      </c>
      <c r="B5" s="11" t="s">
        <v>559</v>
      </c>
      <c r="C5" s="11" t="s">
        <v>560</v>
      </c>
      <c r="D5" s="11" t="s">
        <v>561</v>
      </c>
      <c r="E5" s="11" t="s">
        <v>562</v>
      </c>
      <c r="F5" s="11" t="s">
        <v>563</v>
      </c>
      <c r="G5" s="11" t="s">
        <v>564</v>
      </c>
      <c r="H5" s="12" t="s">
        <v>565</v>
      </c>
    </row>
    <row r="6" spans="1:8" ht="30" x14ac:dyDescent="0.25">
      <c r="A6" s="13" t="s">
        <v>566</v>
      </c>
      <c r="B6" s="2" t="s">
        <v>567</v>
      </c>
      <c r="C6" s="2" t="s">
        <v>568</v>
      </c>
      <c r="D6" s="2" t="s">
        <v>561</v>
      </c>
      <c r="E6" s="2" t="s">
        <v>562</v>
      </c>
      <c r="F6" s="2" t="s">
        <v>569</v>
      </c>
      <c r="G6" s="2" t="s">
        <v>570</v>
      </c>
      <c r="H6" s="14" t="s">
        <v>571</v>
      </c>
    </row>
    <row r="7" spans="1:8" ht="30" x14ac:dyDescent="0.25">
      <c r="A7" s="13" t="s">
        <v>572</v>
      </c>
      <c r="B7" s="2" t="s">
        <v>573</v>
      </c>
      <c r="C7" s="2" t="s">
        <v>574</v>
      </c>
      <c r="D7" s="2" t="s">
        <v>575</v>
      </c>
      <c r="E7" s="2" t="s">
        <v>562</v>
      </c>
      <c r="F7" s="2" t="s">
        <v>576</v>
      </c>
      <c r="G7" s="2" t="s">
        <v>577</v>
      </c>
      <c r="H7" s="14" t="s">
        <v>578</v>
      </c>
    </row>
    <row r="8" spans="1:8" ht="30" x14ac:dyDescent="0.25">
      <c r="A8" s="13" t="s">
        <v>579</v>
      </c>
      <c r="B8" s="2" t="s">
        <v>580</v>
      </c>
      <c r="C8" s="2" t="s">
        <v>581</v>
      </c>
      <c r="D8" s="2" t="s">
        <v>582</v>
      </c>
      <c r="E8" s="2" t="s">
        <v>583</v>
      </c>
      <c r="F8" s="2" t="s">
        <v>584</v>
      </c>
      <c r="G8" s="2" t="s">
        <v>585</v>
      </c>
      <c r="H8" s="14" t="s">
        <v>586</v>
      </c>
    </row>
    <row r="9" spans="1:8" ht="30" x14ac:dyDescent="0.25">
      <c r="A9" s="13" t="s">
        <v>587</v>
      </c>
      <c r="B9" s="2" t="s">
        <v>20</v>
      </c>
      <c r="C9" s="2" t="s">
        <v>588</v>
      </c>
      <c r="D9" s="2" t="s">
        <v>101</v>
      </c>
      <c r="E9" s="2" t="s">
        <v>562</v>
      </c>
      <c r="F9" s="2" t="s">
        <v>589</v>
      </c>
      <c r="G9" s="2" t="s">
        <v>590</v>
      </c>
      <c r="H9" s="14" t="s">
        <v>591</v>
      </c>
    </row>
    <row r="10" spans="1:8" ht="30" x14ac:dyDescent="0.25">
      <c r="A10" s="13" t="s">
        <v>592</v>
      </c>
      <c r="B10" s="2" t="s">
        <v>24</v>
      </c>
      <c r="C10" s="2" t="s">
        <v>593</v>
      </c>
      <c r="D10" s="2" t="s">
        <v>101</v>
      </c>
      <c r="E10" s="2" t="s">
        <v>562</v>
      </c>
      <c r="F10" s="2" t="s">
        <v>594</v>
      </c>
      <c r="G10" s="2" t="s">
        <v>595</v>
      </c>
      <c r="H10" s="14" t="s">
        <v>596</v>
      </c>
    </row>
    <row r="11" spans="1:8" ht="30" x14ac:dyDescent="0.25">
      <c r="A11" s="13" t="s">
        <v>597</v>
      </c>
      <c r="B11" s="2" t="s">
        <v>32</v>
      </c>
      <c r="C11" s="2" t="s">
        <v>598</v>
      </c>
      <c r="D11" s="2" t="s">
        <v>101</v>
      </c>
      <c r="E11" s="2" t="s">
        <v>583</v>
      </c>
      <c r="F11" s="2" t="s">
        <v>599</v>
      </c>
      <c r="G11" s="2" t="s">
        <v>600</v>
      </c>
      <c r="H11" s="14" t="s">
        <v>601</v>
      </c>
    </row>
    <row r="12" spans="1:8" ht="30" x14ac:dyDescent="0.25">
      <c r="A12" s="13" t="s">
        <v>602</v>
      </c>
      <c r="B12" s="2" t="s">
        <v>603</v>
      </c>
      <c r="C12" s="2" t="s">
        <v>604</v>
      </c>
      <c r="D12" s="2" t="s">
        <v>101</v>
      </c>
      <c r="E12" s="2" t="s">
        <v>605</v>
      </c>
      <c r="F12" s="2" t="s">
        <v>606</v>
      </c>
      <c r="G12" s="2" t="s">
        <v>607</v>
      </c>
      <c r="H12" s="14" t="s">
        <v>608</v>
      </c>
    </row>
    <row r="13" spans="1:8" ht="30" x14ac:dyDescent="0.25">
      <c r="A13" s="13" t="s">
        <v>609</v>
      </c>
      <c r="B13" s="2" t="s">
        <v>610</v>
      </c>
      <c r="C13" s="2" t="s">
        <v>611</v>
      </c>
      <c r="D13" s="2" t="s">
        <v>101</v>
      </c>
      <c r="E13" s="2" t="s">
        <v>583</v>
      </c>
      <c r="F13" s="2" t="s">
        <v>612</v>
      </c>
      <c r="G13" s="2" t="s">
        <v>613</v>
      </c>
      <c r="H13" s="14" t="s">
        <v>614</v>
      </c>
    </row>
    <row r="14" spans="1:8" ht="30" x14ac:dyDescent="0.25">
      <c r="A14" s="13" t="s">
        <v>615</v>
      </c>
      <c r="B14" s="2" t="s">
        <v>36</v>
      </c>
      <c r="C14" s="2" t="s">
        <v>616</v>
      </c>
      <c r="D14" s="2" t="s">
        <v>617</v>
      </c>
      <c r="E14" s="2" t="s">
        <v>583</v>
      </c>
      <c r="F14" s="2" t="s">
        <v>618</v>
      </c>
      <c r="G14" s="2" t="s">
        <v>619</v>
      </c>
      <c r="H14" s="14" t="s">
        <v>620</v>
      </c>
    </row>
    <row r="15" spans="1:8" ht="30" x14ac:dyDescent="0.25">
      <c r="A15" s="13" t="s">
        <v>621</v>
      </c>
      <c r="B15" s="2" t="s">
        <v>40</v>
      </c>
      <c r="C15" s="2" t="s">
        <v>622</v>
      </c>
      <c r="D15" s="2" t="s">
        <v>561</v>
      </c>
      <c r="E15" s="2" t="s">
        <v>605</v>
      </c>
      <c r="F15" s="2" t="s">
        <v>623</v>
      </c>
      <c r="G15" s="2" t="s">
        <v>624</v>
      </c>
      <c r="H15" s="14" t="s">
        <v>625</v>
      </c>
    </row>
    <row r="16" spans="1:8" ht="30" x14ac:dyDescent="0.25">
      <c r="A16" s="13" t="s">
        <v>626</v>
      </c>
      <c r="B16" s="2" t="s">
        <v>627</v>
      </c>
      <c r="C16" s="2" t="s">
        <v>628</v>
      </c>
      <c r="D16" s="2" t="s">
        <v>73</v>
      </c>
      <c r="E16" s="2" t="s">
        <v>605</v>
      </c>
      <c r="F16" s="2" t="s">
        <v>629</v>
      </c>
      <c r="G16" s="2" t="s">
        <v>630</v>
      </c>
      <c r="H16" s="14" t="s">
        <v>631</v>
      </c>
    </row>
    <row r="17" spans="1:8" ht="30" x14ac:dyDescent="0.25">
      <c r="A17" s="13" t="s">
        <v>632</v>
      </c>
      <c r="B17" s="2" t="s">
        <v>633</v>
      </c>
      <c r="C17" s="2" t="s">
        <v>634</v>
      </c>
      <c r="D17" s="2" t="s">
        <v>79</v>
      </c>
      <c r="E17" s="2" t="s">
        <v>583</v>
      </c>
      <c r="F17" s="2" t="s">
        <v>635</v>
      </c>
      <c r="G17" s="2" t="s">
        <v>636</v>
      </c>
      <c r="H17" s="14" t="s">
        <v>637</v>
      </c>
    </row>
    <row r="18" spans="1:8" ht="30" x14ac:dyDescent="0.25">
      <c r="A18" s="13" t="s">
        <v>638</v>
      </c>
      <c r="B18" s="2" t="s">
        <v>639</v>
      </c>
      <c r="C18" s="2" t="s">
        <v>640</v>
      </c>
      <c r="D18" s="2" t="s">
        <v>85</v>
      </c>
      <c r="E18" s="2" t="s">
        <v>583</v>
      </c>
      <c r="F18" s="2" t="s">
        <v>641</v>
      </c>
      <c r="G18" s="2" t="s">
        <v>642</v>
      </c>
      <c r="H18" s="14" t="s">
        <v>643</v>
      </c>
    </row>
    <row r="19" spans="1:8" ht="30" x14ac:dyDescent="0.25">
      <c r="A19" s="13" t="s">
        <v>644</v>
      </c>
      <c r="B19" s="2" t="s">
        <v>645</v>
      </c>
      <c r="C19" s="2" t="s">
        <v>646</v>
      </c>
      <c r="D19" s="2" t="s">
        <v>647</v>
      </c>
      <c r="E19" s="2" t="s">
        <v>562</v>
      </c>
      <c r="F19" s="2" t="s">
        <v>648</v>
      </c>
      <c r="G19" s="2" t="s">
        <v>649</v>
      </c>
      <c r="H19" s="14" t="s">
        <v>650</v>
      </c>
    </row>
    <row r="20" spans="1:8" ht="30" x14ac:dyDescent="0.25">
      <c r="A20" s="13" t="s">
        <v>651</v>
      </c>
      <c r="B20" s="2" t="s">
        <v>389</v>
      </c>
      <c r="C20" s="2" t="s">
        <v>652</v>
      </c>
      <c r="D20" s="2" t="s">
        <v>561</v>
      </c>
      <c r="E20" s="2" t="s">
        <v>653</v>
      </c>
      <c r="F20" s="2" t="s">
        <v>654</v>
      </c>
      <c r="G20" s="2" t="s">
        <v>655</v>
      </c>
      <c r="H20" s="14" t="s">
        <v>656</v>
      </c>
    </row>
    <row r="21" spans="1:8" ht="30" x14ac:dyDescent="0.25">
      <c r="A21" s="13" t="s">
        <v>657</v>
      </c>
      <c r="B21" s="2" t="s">
        <v>658</v>
      </c>
      <c r="C21" s="2" t="s">
        <v>659</v>
      </c>
      <c r="D21" s="2" t="s">
        <v>660</v>
      </c>
      <c r="E21" s="2" t="s">
        <v>583</v>
      </c>
      <c r="F21" s="2" t="s">
        <v>661</v>
      </c>
      <c r="G21" s="2" t="s">
        <v>662</v>
      </c>
      <c r="H21" s="14" t="s">
        <v>663</v>
      </c>
    </row>
    <row r="22" spans="1:8" ht="30" x14ac:dyDescent="0.25">
      <c r="A22" s="13" t="s">
        <v>664</v>
      </c>
      <c r="B22" s="2" t="s">
        <v>665</v>
      </c>
      <c r="C22" s="2" t="s">
        <v>666</v>
      </c>
      <c r="D22" s="2" t="s">
        <v>90</v>
      </c>
      <c r="E22" s="2" t="s">
        <v>583</v>
      </c>
      <c r="F22" s="2" t="s">
        <v>667</v>
      </c>
      <c r="G22" s="2" t="s">
        <v>668</v>
      </c>
      <c r="H22" s="14" t="s">
        <v>669</v>
      </c>
    </row>
    <row r="23" spans="1:8" ht="30" x14ac:dyDescent="0.25">
      <c r="A23" s="13" t="s">
        <v>670</v>
      </c>
      <c r="B23" s="2" t="s">
        <v>671</v>
      </c>
      <c r="C23" s="2" t="s">
        <v>672</v>
      </c>
      <c r="D23" s="2" t="s">
        <v>673</v>
      </c>
      <c r="E23" s="2" t="s">
        <v>562</v>
      </c>
      <c r="F23" s="2" t="s">
        <v>674</v>
      </c>
      <c r="G23" s="2" t="s">
        <v>675</v>
      </c>
      <c r="H23" s="14" t="s">
        <v>676</v>
      </c>
    </row>
    <row r="24" spans="1:8" ht="30" x14ac:dyDescent="0.25">
      <c r="A24" s="15" t="s">
        <v>677</v>
      </c>
      <c r="B24" s="16" t="s">
        <v>678</v>
      </c>
      <c r="C24" s="16" t="s">
        <v>679</v>
      </c>
      <c r="D24" s="16" t="s">
        <v>443</v>
      </c>
      <c r="E24" s="16" t="s">
        <v>653</v>
      </c>
      <c r="F24" s="16" t="s">
        <v>680</v>
      </c>
      <c r="G24" s="16" t="s">
        <v>681</v>
      </c>
      <c r="H24" s="17" t="s">
        <v>682</v>
      </c>
    </row>
  </sheetData>
  <mergeCells count="2">
    <mergeCell ref="A1:H1"/>
    <mergeCell ref="A2:H2"/>
  </mergeCells>
  <dataValidations count="1">
    <dataValidation type="list" sqref="E5:E24" xr:uid="{00000000-0002-0000-0B00-000000000000}">
      <formula1>"Critical,High,Medium,Informational"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7_Architecture</vt:lpstr>
      <vt:lpstr>Main Deliverables--&gt;</vt:lpstr>
      <vt:lpstr>8_Consolidated rev (Mapping)</vt:lpstr>
      <vt:lpstr>Fact_Revenue_Snapshot</vt:lpstr>
      <vt:lpstr>Comparison Report Types</vt:lpstr>
      <vt:lpstr>Cons Rev &amp; comparison</vt:lpstr>
      <vt:lpstr>Revenue Movement Reports</vt:lpstr>
      <vt:lpstr>9_DW Processing</vt:lpstr>
      <vt:lpstr>2_Baseline Definitions</vt:lpstr>
      <vt:lpstr>3_Change Rules</vt:lpstr>
      <vt:lpstr>13_Expected Outputs</vt:lpstr>
      <vt:lpstr>Test &amp; AI--&gt;</vt:lpstr>
      <vt:lpstr>5_Test Cases</vt:lpstr>
      <vt:lpstr>11_AI Prompts by Table</vt:lpstr>
      <vt:lpstr>Reference--&gt;</vt:lpstr>
      <vt:lpstr>1_Field Mapping</vt:lpstr>
      <vt:lpstr>4_Change Log Output</vt:lpstr>
      <vt:lpstr>6_FX Logic</vt:lpstr>
      <vt:lpstr>10_Business Definitions</vt:lpstr>
      <vt:lpstr>12_Data Quality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Gina Chang</cp:lastModifiedBy>
  <dcterms:created xsi:type="dcterms:W3CDTF">2026-07-20T14:16:14Z</dcterms:created>
  <dcterms:modified xsi:type="dcterms:W3CDTF">2026-07-23T19:56:38Z</dcterms:modified>
</cp:coreProperties>
</file>